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Test Report" sheetId="3" state="visible" r:id="rId3"/>
  </sheets>
  <definedNames>
    <definedName name="_xlnm._FilterDatabase" localSheetId="1" hidden="1">'Test Cases'!$A$9:$O$27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22"/>
    </font>
    <font>
      <b val="1"/>
    </font>
    <font>
      <b val="1"/>
      <color rgb="00FFFFFF"/>
    </font>
    <font>
      <b val="1"/>
      <color rgb="00FFFFFF"/>
      <sz val="18"/>
    </font>
  </fonts>
  <fills count="8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EAF4FF"/>
      </patternFill>
    </fill>
    <fill>
      <patternFill patternType="solid">
        <fgColor rgb="00D9EAF7"/>
      </patternFill>
    </fill>
    <fill>
      <patternFill patternType="solid">
        <fgColor rgb="00FEF3C7"/>
      </patternFill>
    </fill>
    <fill>
      <patternFill patternType="solid">
        <fgColor rgb="00DCFCE7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0" fontId="0" fillId="0" borderId="1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18" customWidth="1" min="3" max="3"/>
    <col width="44" customWidth="1" min="4" max="4"/>
    <col width="18" customWidth="1" min="5" max="5"/>
    <col width="16" customWidth="1" min="6" max="6"/>
    <col width="38" customWidth="1" min="7" max="7"/>
    <col width="14" customWidth="1" min="8" max="8"/>
  </cols>
  <sheetData>
    <row r="1">
      <c r="A1" s="1" t="inlineStr">
        <is>
          <t>TEST CASE</t>
        </is>
      </c>
    </row>
    <row r="2"/>
    <row r="4">
      <c r="A4" s="2" t="inlineStr">
        <is>
          <t>Project Name</t>
        </is>
      </c>
      <c r="B4" s="3" t="inlineStr">
        <is>
          <t>Quản Lý Nhà Hàng / Restaurant Management System</t>
        </is>
      </c>
    </row>
    <row r="5">
      <c r="A5" s="2" t="inlineStr">
        <is>
          <t>Project Code</t>
        </is>
      </c>
      <c r="B5" s="3" t="inlineStr">
        <is>
          <t>RMS-FLUTTER-NODE</t>
        </is>
      </c>
    </row>
    <row r="6">
      <c r="A6" s="2" t="inlineStr">
        <is>
          <t>Module</t>
        </is>
      </c>
      <c r="B6" s="3" t="inlineStr">
        <is>
          <t>Mobile - Hóa đơn và công nợ / Mobile - Invoices and Debts</t>
        </is>
      </c>
    </row>
    <row r="7">
      <c r="A7" s="2" t="inlineStr">
        <is>
          <t>Module Code</t>
        </is>
      </c>
      <c r="B7" s="3" t="inlineStr">
        <is>
          <t>MOB-BILL</t>
        </is>
      </c>
    </row>
    <row r="8">
      <c r="A8" s="2" t="inlineStr">
        <is>
          <t>Version</t>
        </is>
      </c>
      <c r="B8" s="3" t="inlineStr">
        <is>
          <t>1.0</t>
        </is>
      </c>
    </row>
    <row r="9">
      <c r="A9" s="2" t="inlineStr">
        <is>
          <t>Issue date</t>
        </is>
      </c>
      <c r="B9" s="3" t="inlineStr">
        <is>
          <t>21/05/2026</t>
        </is>
      </c>
    </row>
    <row r="10">
      <c r="A10" s="2" t="inlineStr">
        <is>
          <t>Total test cases</t>
        </is>
      </c>
      <c r="B10" s="3" t="n">
        <v>16</v>
      </c>
    </row>
    <row r="11">
      <c r="A11" s="2" t="inlineStr">
        <is>
          <t>Language</t>
        </is>
      </c>
      <c r="B11" s="3" t="inlineStr">
        <is>
          <t>Tiếng Việt + English</t>
        </is>
      </c>
    </row>
    <row r="12">
      <c r="A12" s="2" t="inlineStr">
        <is>
          <t>Result policy</t>
        </is>
      </c>
      <c r="B12" s="3" t="inlineStr">
        <is>
          <t>Pass/Fail only for executed smoke checks; Pending means written but not executed manually.</t>
        </is>
      </c>
    </row>
    <row r="14">
      <c r="A14" s="4" t="inlineStr">
        <is>
          <t>Record of change / Lịch sử thay đổi</t>
        </is>
      </c>
    </row>
    <row r="15">
      <c r="A15" s="5" t="inlineStr">
        <is>
          <t>Version</t>
        </is>
      </c>
      <c r="B15" s="5" t="inlineStr">
        <is>
          <t>Date</t>
        </is>
      </c>
      <c r="C15" s="5" t="inlineStr">
        <is>
          <t>Author</t>
        </is>
      </c>
      <c r="D15" s="5" t="inlineStr">
        <is>
          <t>Change description</t>
        </is>
      </c>
      <c r="E15" s="5" t="inlineStr">
        <is>
          <t>Reviewer</t>
        </is>
      </c>
      <c r="F15" s="5" t="inlineStr">
        <is>
          <t>Status</t>
        </is>
      </c>
      <c r="G15" s="5" t="inlineStr">
        <is>
          <t>Note</t>
        </is>
      </c>
      <c r="H15" s="5" t="inlineStr"/>
    </row>
    <row r="16">
      <c r="A16" s="3" t="inlineStr">
        <is>
          <t>1.0</t>
        </is>
      </c>
      <c r="B16" s="3" t="inlineStr">
        <is>
          <t>21/05/2026</t>
        </is>
      </c>
      <c r="C16" s="3" t="inlineStr">
        <is>
          <t>Codex</t>
        </is>
      </c>
      <c r="D16" s="3" t="inlineStr">
        <is>
          <t>Create bilingual test cases for Mobile - Hóa đơn và công nợ</t>
        </is>
      </c>
      <c r="E16" s="3" t="inlineStr"/>
      <c r="F16" s="3" t="inlineStr">
        <is>
          <t>Draft</t>
        </is>
      </c>
      <c r="G16" s="3" t="inlineStr">
        <is>
          <t>Kiểm tra hóa đơn, thanh toán, ghi nợ và thu nợ trên mobile</t>
        </is>
      </c>
      <c r="H16" s="3" t="inlineStr"/>
    </row>
  </sheetData>
  <mergeCells count="2">
    <mergeCell ref="A1:H2"/>
    <mergeCell ref="A14:H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8" customWidth="1" min="3" max="3"/>
    <col width="34" customWidth="1" min="4" max="4"/>
    <col width="34" customWidth="1" min="5" max="5"/>
    <col width="34" customWidth="1" min="6" max="6"/>
    <col width="44" customWidth="1" min="7" max="7"/>
    <col width="44" customWidth="1" min="8" max="8"/>
    <col width="28" customWidth="1" min="9" max="9"/>
    <col width="38" customWidth="1" min="10" max="10"/>
    <col width="38" customWidth="1" min="11" max="11"/>
    <col width="14" customWidth="1" min="12" max="12"/>
    <col width="18" customWidth="1" min="13" max="13"/>
    <col width="38" customWidth="1" min="14" max="14"/>
    <col width="28" customWidth="1" min="15" max="15"/>
  </cols>
  <sheetData>
    <row r="1">
      <c r="A1" s="6" t="inlineStr">
        <is>
          <t>TEST CASE</t>
        </is>
      </c>
    </row>
    <row r="3">
      <c r="A3" s="7" t="inlineStr">
        <is>
          <t>System Name:</t>
        </is>
      </c>
      <c r="B3" s="3" t="inlineStr">
        <is>
          <t>Quản Lý Nhà Hàng / Restaurant Management System</t>
        </is>
      </c>
    </row>
    <row r="4">
      <c r="A4" s="7" t="inlineStr">
        <is>
          <t>Module Code:</t>
        </is>
      </c>
      <c r="B4" s="3" t="inlineStr">
        <is>
          <t>MOB-BILL</t>
        </is>
      </c>
    </row>
    <row r="5">
      <c r="A5" s="7" t="inlineStr">
        <is>
          <t>Test requirement:</t>
        </is>
      </c>
      <c r="B5" s="3" t="inlineStr">
        <is>
          <t>Kiểm tra hóa đơn, thanh toán, ghi nợ và thu nợ trên mobile</t>
        </is>
      </c>
    </row>
    <row r="6">
      <c r="A6" s="7" t="inlineStr">
        <is>
          <t>Pass</t>
        </is>
      </c>
      <c r="B6" s="3">
        <f>COUNTIF(M12:M500,"Pass*")</f>
        <v/>
      </c>
      <c r="C6" s="7" t="inlineStr">
        <is>
          <t>Pending</t>
        </is>
      </c>
      <c r="D6" s="3">
        <f>COUNTIF(M12:M500,"Pending*")</f>
        <v/>
      </c>
    </row>
    <row r="7">
      <c r="A7" s="7" t="inlineStr">
        <is>
          <t>Fail</t>
        </is>
      </c>
      <c r="B7" s="3">
        <f>COUNTIF(M12:M500,"Fail*")</f>
        <v/>
      </c>
      <c r="C7" s="7" t="inlineStr">
        <is>
          <t>Number of test cases:</t>
        </is>
      </c>
      <c r="D7" s="3">
        <f>COUNTA(A12:A500)</f>
        <v/>
      </c>
    </row>
    <row r="9">
      <c r="A9" s="8" t="inlineStr">
        <is>
          <t>ID</t>
        </is>
      </c>
      <c r="B9" s="8" t="inlineStr">
        <is>
          <t>Function / Chức năng</t>
        </is>
      </c>
      <c r="C9" s="8" t="inlineStr">
        <is>
          <t>Test location / Vị trí test</t>
        </is>
      </c>
      <c r="D9" s="8" t="inlineStr">
        <is>
          <t>Test Case Description (VI)</t>
        </is>
      </c>
      <c r="E9" s="8" t="inlineStr">
        <is>
          <t>Test Case Description (EN)</t>
        </is>
      </c>
      <c r="F9" s="8" t="inlineStr">
        <is>
          <t>Preconditions / Tiền điều kiện</t>
        </is>
      </c>
      <c r="G9" s="8" t="inlineStr">
        <is>
          <t>Test Case Procedure (VI)</t>
        </is>
      </c>
      <c r="H9" s="8" t="inlineStr">
        <is>
          <t>Test Case Procedure (EN)</t>
        </is>
      </c>
      <c r="I9" s="8" t="inlineStr">
        <is>
          <t>Test Data / Dữ liệu</t>
        </is>
      </c>
      <c r="J9" s="8" t="inlineStr">
        <is>
          <t>Expected Output (VI)</t>
        </is>
      </c>
      <c r="K9" s="8" t="inlineStr">
        <is>
          <t>Expected Output (EN)</t>
        </is>
      </c>
      <c r="L9" s="8" t="inlineStr">
        <is>
          <t>Test date</t>
        </is>
      </c>
      <c r="M9" s="8" t="inlineStr">
        <is>
          <t>Result / Kết quả</t>
        </is>
      </c>
      <c r="N9" s="8" t="inlineStr">
        <is>
          <t>Actual Result / Kết quả thực tế</t>
        </is>
      </c>
      <c r="O9" s="8" t="inlineStr">
        <is>
          <t>Note / Ghi chú</t>
        </is>
      </c>
    </row>
    <row r="12" ht="96" customHeight="1">
      <c r="A12" s="9" t="inlineStr">
        <is>
          <t>MOB-BILL-001</t>
        </is>
      </c>
      <c r="B12" s="3" t="inlineStr">
        <is>
          <t>Hóa đơn và công nợ</t>
        </is>
      </c>
      <c r="C12" s="3" t="inlineStr">
        <is>
          <t>Mobile app &gt; Hóa đơn/Công nợ</t>
        </is>
      </c>
      <c r="D12" s="3" t="inlineStr">
        <is>
          <t>Danh sách hóa đơn hiển thị đơn open mới tạo</t>
        </is>
      </c>
      <c r="E12" s="3" t="inlineStr">
        <is>
          <t>Invoice list displays newly opened order</t>
        </is>
      </c>
      <c r="F12" s="3" t="inlineStr">
        <is>
          <t>Backend đang chạy cổng 3000; cài APK hoặc chạy app trên emulator/điện thoại; đăng nhập đúng vai trò.</t>
        </is>
      </c>
      <c r="G12" s="3" t="inlineStr">
        <is>
          <t>1. Mở vị trí test: Mobile app &gt; Hóa đơn/Công nợ.
2. Thực hiện tình huống: Danh sách hóa đơn hiển thị đơn open mới tạo.
3. Kiểm tra giao diện, dữ liệu lưu trong hệ thống và phản hồi lỗi/thành công.</t>
        </is>
      </c>
      <c r="H12" s="3" t="inlineStr">
        <is>
          <t>1. Open test location: Mobile app &gt; Hóa đơn/Công nợ.
2. Execute scenario: Invoice list displays newly opened order.
3. Verify UI, saved data, and success/error response.</t>
        </is>
      </c>
      <c r="I12" s="3" t="inlineStr"/>
      <c r="J12" s="3" t="inlineStr">
        <is>
          <t>Hóa đơn có bàn, mã, trạng thái, nhân viên và tổng tiền.</t>
        </is>
      </c>
      <c r="K12" s="3" t="inlineStr">
        <is>
          <t>Invoice shows table, id, status, staff, and total.</t>
        </is>
      </c>
      <c r="L12" s="9" t="inlineStr"/>
      <c r="M12" s="10" t="inlineStr">
        <is>
          <t>Pending / Chưa chạy</t>
        </is>
      </c>
      <c r="N12" s="3" t="inlineStr">
        <is>
          <t>Chưa chạy / Not executed</t>
        </is>
      </c>
      <c r="O12" s="3" t="inlineStr"/>
    </row>
    <row r="13" ht="96" customHeight="1">
      <c r="A13" s="9" t="inlineStr">
        <is>
          <t>MOB-BILL-002</t>
        </is>
      </c>
      <c r="B13" s="3" t="inlineStr">
        <is>
          <t>Hóa đơn và công nợ</t>
        </is>
      </c>
      <c r="C13" s="3" t="inlineStr">
        <is>
          <t>Mobile app &gt; Hóa đơn/Công nợ</t>
        </is>
      </c>
      <c r="D13" s="3" t="inlineStr">
        <is>
          <t>Mở rộng hóa đơn hiển thị chi tiết món</t>
        </is>
      </c>
      <c r="E13" s="3" t="inlineStr">
        <is>
          <t>Expand invoice to show line items</t>
        </is>
      </c>
      <c r="F13" s="3" t="inlineStr">
        <is>
          <t>Backend đang chạy cổng 3000; cài APK hoặc chạy app trên emulator/điện thoại; đăng nhập đúng vai trò.</t>
        </is>
      </c>
      <c r="G13" s="3" t="inlineStr">
        <is>
          <t>1. Mở vị trí test: Mobile app &gt; Hóa đơn/Công nợ.
2. Thực hiện tình huống: Mở rộng hóa đơn hiển thị chi tiết món.
3. Kiểm tra giao diện, dữ liệu lưu trong hệ thống và phản hồi lỗi/thành công.</t>
        </is>
      </c>
      <c r="H13" s="3" t="inlineStr">
        <is>
          <t>1. Open test location: Mobile app &gt; Hóa đơn/Công nợ.
2. Execute scenario: Expand invoice to show line items.
3. Verify UI, saved data, and success/error response.</t>
        </is>
      </c>
      <c r="I13" s="3" t="inlineStr"/>
      <c r="J13" s="3" t="inlineStr">
        <is>
          <t>Mỗi dòng món có tên, số lượng và thành tiền.</t>
        </is>
      </c>
      <c r="K13" s="3" t="inlineStr">
        <is>
          <t>Each line item has name, quantity, and line total.</t>
        </is>
      </c>
      <c r="L13" s="9" t="inlineStr"/>
      <c r="M13" s="10" t="inlineStr">
        <is>
          <t>Pending / Chưa chạy</t>
        </is>
      </c>
      <c r="N13" s="3" t="inlineStr">
        <is>
          <t>Chưa chạy / Not executed</t>
        </is>
      </c>
      <c r="O13" s="3" t="inlineStr"/>
    </row>
    <row r="14" ht="96" customHeight="1">
      <c r="A14" s="9" t="inlineStr">
        <is>
          <t>MOB-BILL-003</t>
        </is>
      </c>
      <c r="B14" s="3" t="inlineStr">
        <is>
          <t>Hóa đơn và công nợ</t>
        </is>
      </c>
      <c r="C14" s="3" t="inlineStr">
        <is>
          <t>Mobile app &gt; Hóa đơn/Công nợ</t>
        </is>
      </c>
      <c r="D14" s="3" t="inlineStr">
        <is>
          <t>Admin bấm Đã trả cho hóa đơn open</t>
        </is>
      </c>
      <c r="E14" s="3" t="inlineStr">
        <is>
          <t>Admin marks an open invoice as paid</t>
        </is>
      </c>
      <c r="F14" s="3" t="inlineStr">
        <is>
          <t>Backend đang chạy cổng 3000; cài APK hoặc chạy app trên emulator/điện thoại; đăng nhập đúng vai trò.</t>
        </is>
      </c>
      <c r="G14" s="3" t="inlineStr">
        <is>
          <t>1. Mở vị trí test: Mobile app &gt; Hóa đơn/Công nợ.
2. Thực hiện tình huống: Admin bấm Đã trả cho hóa đơn open.
3. Kiểm tra giao diện, dữ liệu lưu trong hệ thống và phản hồi lỗi/thành công.</t>
        </is>
      </c>
      <c r="H14" s="3" t="inlineStr">
        <is>
          <t>1. Open test location: Mobile app &gt; Hóa đơn/Công nợ.
2. Execute scenario: Admin marks an open invoice as paid.
3. Verify UI, saved data, and success/error response.</t>
        </is>
      </c>
      <c r="I14" s="3" t="inlineStr"/>
      <c r="J14" s="3" t="inlineStr">
        <is>
          <t>Hóa đơn đổi sang paid, bàn được giải phóng và thống kê doanh thu tăng.</t>
        </is>
      </c>
      <c r="K14" s="3" t="inlineStr">
        <is>
          <t>Invoice becomes paid, table is released, and revenue increases.</t>
        </is>
      </c>
      <c r="L14" s="9" t="inlineStr"/>
      <c r="M14" s="10" t="inlineStr">
        <is>
          <t>Pending / Chưa chạy</t>
        </is>
      </c>
      <c r="N14" s="3" t="inlineStr">
        <is>
          <t>Chưa chạy / Not executed</t>
        </is>
      </c>
      <c r="O14" s="3" t="inlineStr"/>
    </row>
    <row r="15" ht="96" customHeight="1">
      <c r="A15" s="9" t="inlineStr">
        <is>
          <t>MOB-BILL-004</t>
        </is>
      </c>
      <c r="B15" s="3" t="inlineStr">
        <is>
          <t>Hóa đơn và công nợ</t>
        </is>
      </c>
      <c r="C15" s="3" t="inlineStr">
        <is>
          <t>Mobile app &gt; Hóa đơn/Công nợ</t>
        </is>
      </c>
      <c r="D15" s="3" t="inlineStr">
        <is>
          <t>Staff được phép bấm Đã trả theo quyền thu tiền</t>
        </is>
      </c>
      <c r="E15" s="3" t="inlineStr">
        <is>
          <t>Staff can mark paid when collection permission allows</t>
        </is>
      </c>
      <c r="F15" s="3" t="inlineStr">
        <is>
          <t>Backend đang chạy cổng 3000; cài APK hoặc chạy app trên emulator/điện thoại; đăng nhập đúng vai trò.</t>
        </is>
      </c>
      <c r="G15" s="3" t="inlineStr">
        <is>
          <t>1. Mở vị trí test: Mobile app &gt; Hóa đơn/Công nợ.
2. Thực hiện tình huống: Staff được phép bấm Đã trả theo quyền thu tiền.
3. Kiểm tra giao diện, dữ liệu lưu trong hệ thống và phản hồi lỗi/thành công.</t>
        </is>
      </c>
      <c r="H15" s="3" t="inlineStr">
        <is>
          <t>1. Open test location: Mobile app &gt; Hóa đơn/Công nợ.
2. Execute scenario: Staff can mark paid when collection permission allows.
3. Verify UI, saved data, and success/error response.</t>
        </is>
      </c>
      <c r="I15" s="3" t="inlineStr">
        <is>
          <t>role=staff</t>
        </is>
      </c>
      <c r="J15" s="3" t="inlineStr">
        <is>
          <t>Staff có nút Đã trả và thanh toán thành công nếu canCollect true.</t>
        </is>
      </c>
      <c r="K15" s="3" t="inlineStr">
        <is>
          <t>Staff has paid button and payment succeeds when canCollect is true.</t>
        </is>
      </c>
      <c r="L15" s="9" t="inlineStr"/>
      <c r="M15" s="10" t="inlineStr">
        <is>
          <t>Pending / Chưa chạy</t>
        </is>
      </c>
      <c r="N15" s="3" t="inlineStr">
        <is>
          <t>Chưa chạy / Not executed</t>
        </is>
      </c>
      <c r="O15" s="3" t="inlineStr"/>
    </row>
    <row r="16" ht="96" customHeight="1">
      <c r="A16" s="9" t="inlineStr">
        <is>
          <t>MOB-BILL-005</t>
        </is>
      </c>
      <c r="B16" s="3" t="inlineStr">
        <is>
          <t>Hóa đơn và công nợ</t>
        </is>
      </c>
      <c r="C16" s="3" t="inlineStr">
        <is>
          <t>Mobile app &gt; Hóa đơn/Công nợ</t>
        </is>
      </c>
      <c r="D16" s="3" t="inlineStr">
        <is>
          <t>Vai trò không có quyền không thấy nút Đã trả</t>
        </is>
      </c>
      <c r="E16" s="3" t="inlineStr">
        <is>
          <t>Unauthorized role does not see paid button</t>
        </is>
      </c>
      <c r="F16" s="3" t="inlineStr">
        <is>
          <t>Backend đang chạy cổng 3000; cài APK hoặc chạy app trên emulator/điện thoại; đăng nhập đúng vai trò.</t>
        </is>
      </c>
      <c r="G16" s="3" t="inlineStr">
        <is>
          <t>1. Mở vị trí test: Mobile app &gt; Hóa đơn/Công nợ.
2. Thực hiện tình huống: Vai trò không có quyền không thấy nút Đã trả.
3. Kiểm tra giao diện, dữ liệu lưu trong hệ thống và phản hồi lỗi/thành công.</t>
        </is>
      </c>
      <c r="H16" s="3" t="inlineStr">
        <is>
          <t>1. Open test location: Mobile app &gt; Hóa đơn/Công nợ.
2. Execute scenario: Unauthorized role does not see paid button.
3. Verify UI, saved data, and success/error response.</t>
        </is>
      </c>
      <c r="I16" s="3" t="inlineStr"/>
      <c r="J16" s="3" t="inlineStr">
        <is>
          <t>Nút thanh toán bị ẩn hoặc API từ chối quyền.</t>
        </is>
      </c>
      <c r="K16" s="3" t="inlineStr">
        <is>
          <t>Payment button is hidden or API rejects permission.</t>
        </is>
      </c>
      <c r="L16" s="9" t="inlineStr"/>
      <c r="M16" s="10" t="inlineStr">
        <is>
          <t>Pending / Chưa chạy</t>
        </is>
      </c>
      <c r="N16" s="3" t="inlineStr">
        <is>
          <t>Chưa chạy / Not executed</t>
        </is>
      </c>
      <c r="O16" s="3" t="inlineStr"/>
    </row>
    <row r="17" ht="96" customHeight="1">
      <c r="A17" s="9" t="inlineStr">
        <is>
          <t>MOB-BILL-006</t>
        </is>
      </c>
      <c r="B17" s="3" t="inlineStr">
        <is>
          <t>Hóa đơn và công nợ</t>
        </is>
      </c>
      <c r="C17" s="3" t="inlineStr">
        <is>
          <t>Mobile app &gt; Hóa đơn/Công nợ</t>
        </is>
      </c>
      <c r="D17" s="3" t="inlineStr">
        <is>
          <t>Nhập giảm giá khi thanh toán</t>
        </is>
      </c>
      <c r="E17" s="3" t="inlineStr">
        <is>
          <t>Enter discount when paying invoice</t>
        </is>
      </c>
      <c r="F17" s="3" t="inlineStr">
        <is>
          <t>Backend đang chạy cổng 3000; cài APK hoặc chạy app trên emulator/điện thoại; đăng nhập đúng vai trò.</t>
        </is>
      </c>
      <c r="G17" s="3" t="inlineStr">
        <is>
          <t>1. Mở vị trí test: Mobile app &gt; Hóa đơn/Công nợ.
2. Thực hiện tình huống: Nhập giảm giá khi thanh toán.
3. Kiểm tra giao diện, dữ liệu lưu trong hệ thống và phản hồi lỗi/thành công.</t>
        </is>
      </c>
      <c r="H17" s="3" t="inlineStr">
        <is>
          <t>1. Open test location: Mobile app &gt; Hóa đơn/Công nợ.
2. Execute scenario: Enter discount when paying invoice.
3. Verify UI, saved data, and success/error response.</t>
        </is>
      </c>
      <c r="I17" s="3" t="inlineStr">
        <is>
          <t>discount=10000</t>
        </is>
      </c>
      <c r="J17" s="3" t="inlineStr">
        <is>
          <t>Tổng thanh toán áp dụng giảm giá hợp lệ, không âm.</t>
        </is>
      </c>
      <c r="K17" s="3" t="inlineStr">
        <is>
          <t>Payable amount applies valid discount and never goes negative.</t>
        </is>
      </c>
      <c r="L17" s="9" t="inlineStr"/>
      <c r="M17" s="10" t="inlineStr">
        <is>
          <t>Pending / Chưa chạy</t>
        </is>
      </c>
      <c r="N17" s="3" t="inlineStr">
        <is>
          <t>Chưa chạy / Not executed</t>
        </is>
      </c>
      <c r="O17" s="3" t="inlineStr"/>
    </row>
    <row r="18" ht="96" customHeight="1">
      <c r="A18" s="9" t="inlineStr">
        <is>
          <t>MOB-BILL-007</t>
        </is>
      </c>
      <c r="B18" s="3" t="inlineStr">
        <is>
          <t>Hóa đơn và công nợ</t>
        </is>
      </c>
      <c r="C18" s="3" t="inlineStr">
        <is>
          <t>Mobile app &gt; Hóa đơn/Công nợ</t>
        </is>
      </c>
      <c r="D18" s="3" t="inlineStr">
        <is>
          <t>Nhập giảm giá lớn hơn tổng tiền</t>
        </is>
      </c>
      <c r="E18" s="3" t="inlineStr">
        <is>
          <t>Enter discount greater than total</t>
        </is>
      </c>
      <c r="F18" s="3" t="inlineStr">
        <is>
          <t>Backend đang chạy cổng 3000; cài APK hoặc chạy app trên emulator/điện thoại; đăng nhập đúng vai trò.</t>
        </is>
      </c>
      <c r="G18" s="3" t="inlineStr">
        <is>
          <t>1. Mở vị trí test: Mobile app &gt; Hóa đơn/Công nợ.
2. Thực hiện tình huống: Nhập giảm giá lớn hơn tổng tiền.
3. Kiểm tra giao diện, dữ liệu lưu trong hệ thống và phản hồi lỗi/thành công.</t>
        </is>
      </c>
      <c r="H18" s="3" t="inlineStr">
        <is>
          <t>1. Open test location: Mobile app &gt; Hóa đơn/Công nợ.
2. Execute scenario: Enter discount greater than total.
3. Verify UI, saved data, and success/error response.</t>
        </is>
      </c>
      <c r="I18" s="3" t="inlineStr">
        <is>
          <t>discount &gt; total</t>
        </is>
      </c>
      <c r="J18" s="3" t="inlineStr">
        <is>
          <t>Hệ thống chặn hoặc đưa tổng về 0, không âm.</t>
        </is>
      </c>
      <c r="K18" s="3" t="inlineStr">
        <is>
          <t>System blocks or clamps payable amount to zero.</t>
        </is>
      </c>
      <c r="L18" s="9" t="inlineStr"/>
      <c r="M18" s="10" t="inlineStr">
        <is>
          <t>Pending / Chưa chạy</t>
        </is>
      </c>
      <c r="N18" s="3" t="inlineStr">
        <is>
          <t>Chưa chạy / Not executed</t>
        </is>
      </c>
      <c r="O18" s="3" t="inlineStr"/>
    </row>
    <row r="19" ht="96" customHeight="1">
      <c r="A19" s="9" t="inlineStr">
        <is>
          <t>MOB-BILL-008</t>
        </is>
      </c>
      <c r="B19" s="3" t="inlineStr">
        <is>
          <t>Hóa đơn và công nợ</t>
        </is>
      </c>
      <c r="C19" s="3" t="inlineStr">
        <is>
          <t>Mobile app &gt; Hóa đơn/Công nợ</t>
        </is>
      </c>
      <c r="D19" s="3" t="inlineStr">
        <is>
          <t>Ghi công nợ từ hóa đơn open</t>
        </is>
      </c>
      <c r="E19" s="3" t="inlineStr">
        <is>
          <t>Convert open invoice to debt</t>
        </is>
      </c>
      <c r="F19" s="3" t="inlineStr">
        <is>
          <t>Backend đang chạy cổng 3000; cài APK hoặc chạy app trên emulator/điện thoại; đăng nhập đúng vai trò.</t>
        </is>
      </c>
      <c r="G19" s="3" t="inlineStr">
        <is>
          <t>1. Mở vị trí test: Mobile app &gt; Hóa đơn/Công nợ.
2. Thực hiện tình huống: Ghi công nợ từ hóa đơn open.
3. Kiểm tra giao diện, dữ liệu lưu trong hệ thống và phản hồi lỗi/thành công.</t>
        </is>
      </c>
      <c r="H19" s="3" t="inlineStr">
        <is>
          <t>1. Open test location: Mobile app &gt; Hóa đơn/Công nợ.
2. Execute scenario: Convert open invoice to debt.
3. Verify UI, saved data, and success/error response.</t>
        </is>
      </c>
      <c r="I19" s="3" t="inlineStr"/>
      <c r="J19" s="3" t="inlineStr">
        <is>
          <t>Tạo bản ghi công nợ có khách hàng, số điện thoại, ghi chú và tổng tiền.</t>
        </is>
      </c>
      <c r="K19" s="3" t="inlineStr">
        <is>
          <t>Debt record is created with customer, phone, note, and amount.</t>
        </is>
      </c>
      <c r="L19" s="9" t="inlineStr"/>
      <c r="M19" s="10" t="inlineStr">
        <is>
          <t>Pending / Chưa chạy</t>
        </is>
      </c>
      <c r="N19" s="3" t="inlineStr">
        <is>
          <t>Chưa chạy / Not executed</t>
        </is>
      </c>
      <c r="O19" s="3" t="inlineStr"/>
    </row>
    <row r="20" ht="96" customHeight="1">
      <c r="A20" s="9" t="inlineStr">
        <is>
          <t>MOB-BILL-009</t>
        </is>
      </c>
      <c r="B20" s="3" t="inlineStr">
        <is>
          <t>Hóa đơn và công nợ</t>
        </is>
      </c>
      <c r="C20" s="3" t="inlineStr">
        <is>
          <t>Mobile app &gt; Hóa đơn/Công nợ</t>
        </is>
      </c>
      <c r="D20" s="3" t="inlineStr">
        <is>
          <t>Bỏ trống tên khách khi ghi nợ</t>
        </is>
      </c>
      <c r="E20" s="3" t="inlineStr">
        <is>
          <t>Leave customer name empty when creating debt</t>
        </is>
      </c>
      <c r="F20" s="3" t="inlineStr">
        <is>
          <t>Backend đang chạy cổng 3000; cài APK hoặc chạy app trên emulator/điện thoại; đăng nhập đúng vai trò.</t>
        </is>
      </c>
      <c r="G20" s="3" t="inlineStr">
        <is>
          <t>1. Mở vị trí test: Mobile app &gt; Hóa đơn/Công nợ.
2. Thực hiện tình huống: Bỏ trống tên khách khi ghi nợ.
3. Kiểm tra giao diện, dữ liệu lưu trong hệ thống và phản hồi lỗi/thành công.</t>
        </is>
      </c>
      <c r="H20" s="3" t="inlineStr">
        <is>
          <t>1. Open test location: Mobile app &gt; Hóa đơn/Công nợ.
2. Execute scenario: Leave customer name empty when creating debt.
3. Verify UI, saved data, and success/error response.</t>
        </is>
      </c>
      <c r="I20" s="3" t="inlineStr"/>
      <c r="J20" s="3" t="inlineStr">
        <is>
          <t>App/API báo lỗi hoặc lưu nhãn khách vãng lai theo quy tắc.</t>
        </is>
      </c>
      <c r="K20" s="3" t="inlineStr">
        <is>
          <t>App/API validates or stores walk-in customer per product rule.</t>
        </is>
      </c>
      <c r="L20" s="9" t="inlineStr"/>
      <c r="M20" s="10" t="inlineStr">
        <is>
          <t>Pending / Chưa chạy</t>
        </is>
      </c>
      <c r="N20" s="3" t="inlineStr">
        <is>
          <t>Chưa chạy / Not executed</t>
        </is>
      </c>
      <c r="O20" s="3" t="inlineStr"/>
    </row>
    <row r="21" ht="96" customHeight="1">
      <c r="A21" s="9" t="inlineStr">
        <is>
          <t>MOB-BILL-010</t>
        </is>
      </c>
      <c r="B21" s="3" t="inlineStr">
        <is>
          <t>Hóa đơn và công nợ</t>
        </is>
      </c>
      <c r="C21" s="3" t="inlineStr">
        <is>
          <t>Mobile app &gt; Hóa đơn/Công nợ</t>
        </is>
      </c>
      <c r="D21" s="3" t="inlineStr">
        <is>
          <t>Danh sách công nợ hiển thị khoản nợ mới</t>
        </is>
      </c>
      <c r="E21" s="3" t="inlineStr">
        <is>
          <t>Debt list displays newly created debt</t>
        </is>
      </c>
      <c r="F21" s="3" t="inlineStr">
        <is>
          <t>Backend đang chạy cổng 3000; cài APK hoặc chạy app trên emulator/điện thoại; đăng nhập đúng vai trò.</t>
        </is>
      </c>
      <c r="G21" s="3" t="inlineStr">
        <is>
          <t>1. Mở vị trí test: Mobile app &gt; Hóa đơn/Công nợ.
2. Thực hiện tình huống: Danh sách công nợ hiển thị khoản nợ mới.
3. Kiểm tra giao diện, dữ liệu lưu trong hệ thống và phản hồi lỗi/thành công.</t>
        </is>
      </c>
      <c r="H21" s="3" t="inlineStr">
        <is>
          <t>1. Open test location: Mobile app &gt; Hóa đơn/Công nợ.
2. Execute scenario: Debt list displays newly created debt.
3. Verify UI, saved data, and success/error response.</t>
        </is>
      </c>
      <c r="I21" s="3" t="inlineStr"/>
      <c r="J21" s="3" t="inlineStr">
        <is>
          <t>Khoản nợ có trạng thái unpaid và liên kết hóa đơn gốc.</t>
        </is>
      </c>
      <c r="K21" s="3" t="inlineStr">
        <is>
          <t>Debt has unpaid status and source invoice link.</t>
        </is>
      </c>
      <c r="L21" s="9" t="inlineStr"/>
      <c r="M21" s="10" t="inlineStr">
        <is>
          <t>Pending / Chưa chạy</t>
        </is>
      </c>
      <c r="N21" s="3" t="inlineStr">
        <is>
          <t>Chưa chạy / Not executed</t>
        </is>
      </c>
      <c r="O21" s="3" t="inlineStr"/>
    </row>
    <row r="22" ht="96" customHeight="1">
      <c r="A22" s="9" t="inlineStr">
        <is>
          <t>MOB-BILL-011</t>
        </is>
      </c>
      <c r="B22" s="3" t="inlineStr">
        <is>
          <t>Hóa đơn và công nợ</t>
        </is>
      </c>
      <c r="C22" s="3" t="inlineStr">
        <is>
          <t>Mobile app &gt; Hóa đơn/Công nợ</t>
        </is>
      </c>
      <c r="D22" s="3" t="inlineStr">
        <is>
          <t>Thu nợ toàn bộ khoản công nợ</t>
        </is>
      </c>
      <c r="E22" s="3" t="inlineStr">
        <is>
          <t>Collect full debt amount</t>
        </is>
      </c>
      <c r="F22" s="3" t="inlineStr">
        <is>
          <t>Backend đang chạy cổng 3000; cài APK hoặc chạy app trên emulator/điện thoại; đăng nhập đúng vai trò.</t>
        </is>
      </c>
      <c r="G22" s="3" t="inlineStr">
        <is>
          <t>1. Mở vị trí test: Mobile app &gt; Hóa đơn/Công nợ.
2. Thực hiện tình huống: Thu nợ toàn bộ khoản công nợ.
3. Kiểm tra giao diện, dữ liệu lưu trong hệ thống và phản hồi lỗi/thành công.</t>
        </is>
      </c>
      <c r="H22" s="3" t="inlineStr">
        <is>
          <t>1. Open test location: Mobile app &gt; Hóa đơn/Công nợ.
2. Execute scenario: Collect full debt amount.
3. Verify UI, saved data, and success/error response.</t>
        </is>
      </c>
      <c r="I22" s="3" t="inlineStr"/>
      <c r="J22" s="3" t="inlineStr">
        <is>
          <t>Khoản nợ chuyển paid/collected và không còn trong danh sách nợ mở.</t>
        </is>
      </c>
      <c r="K22" s="3" t="inlineStr">
        <is>
          <t>Debt becomes paid/collected and leaves open debt list.</t>
        </is>
      </c>
      <c r="L22" s="9" t="inlineStr"/>
      <c r="M22" s="10" t="inlineStr">
        <is>
          <t>Pending / Chưa chạy</t>
        </is>
      </c>
      <c r="N22" s="3" t="inlineStr">
        <is>
          <t>Chưa chạy / Not executed</t>
        </is>
      </c>
      <c r="O22" s="3" t="inlineStr"/>
    </row>
    <row r="23" ht="96" customHeight="1">
      <c r="A23" s="9" t="inlineStr">
        <is>
          <t>MOB-BILL-012</t>
        </is>
      </c>
      <c r="B23" s="3" t="inlineStr">
        <is>
          <t>Hóa đơn và công nợ</t>
        </is>
      </c>
      <c r="C23" s="3" t="inlineStr">
        <is>
          <t>Mobile app &gt; Hóa đơn/Công nợ</t>
        </is>
      </c>
      <c r="D23" s="3" t="inlineStr">
        <is>
          <t>Thu nợ một phần nếu API hỗ trợ</t>
        </is>
      </c>
      <c r="E23" s="3" t="inlineStr">
        <is>
          <t>Collect partial debt if API supports it</t>
        </is>
      </c>
      <c r="F23" s="3" t="inlineStr">
        <is>
          <t>Backend đang chạy cổng 3000; cài APK hoặc chạy app trên emulator/điện thoại; đăng nhập đúng vai trò.</t>
        </is>
      </c>
      <c r="G23" s="3" t="inlineStr">
        <is>
          <t>1. Mở vị trí test: Mobile app &gt; Hóa đơn/Công nợ.
2. Thực hiện tình huống: Thu nợ một phần nếu API hỗ trợ.
3. Kiểm tra giao diện, dữ liệu lưu trong hệ thống và phản hồi lỗi/thành công.</t>
        </is>
      </c>
      <c r="H23" s="3" t="inlineStr">
        <is>
          <t>1. Open test location: Mobile app &gt; Hóa đơn/Công nợ.
2. Execute scenario: Collect partial debt if API supports it.
3. Verify UI, saved data, and success/error response.</t>
        </is>
      </c>
      <c r="I23" s="3" t="inlineStr"/>
      <c r="J23" s="3" t="inlineStr">
        <is>
          <t>Số tiền còn lại tính đúng hoặc hệ thống từ chối rõ ràng nếu chưa hỗ trợ.</t>
        </is>
      </c>
      <c r="K23" s="3" t="inlineStr">
        <is>
          <t>Remaining amount is correct or system clearly rejects if unsupported.</t>
        </is>
      </c>
      <c r="L23" s="9" t="inlineStr"/>
      <c r="M23" s="10" t="inlineStr">
        <is>
          <t>Pending / Chưa chạy</t>
        </is>
      </c>
      <c r="N23" s="3" t="inlineStr">
        <is>
          <t>Chưa chạy / Not executed</t>
        </is>
      </c>
      <c r="O23" s="3" t="inlineStr"/>
    </row>
    <row r="24" ht="96" customHeight="1">
      <c r="A24" s="9" t="inlineStr">
        <is>
          <t>MOB-BILL-013</t>
        </is>
      </c>
      <c r="B24" s="3" t="inlineStr">
        <is>
          <t>Hóa đơn và công nợ</t>
        </is>
      </c>
      <c r="C24" s="3" t="inlineStr">
        <is>
          <t>Mobile app &gt; Hóa đơn/Công nợ</t>
        </is>
      </c>
      <c r="D24" s="3" t="inlineStr">
        <is>
          <t>Refresh hóa đơn sau khi thanh toán</t>
        </is>
      </c>
      <c r="E24" s="3" t="inlineStr">
        <is>
          <t>Refresh invoices after payment</t>
        </is>
      </c>
      <c r="F24" s="3" t="inlineStr">
        <is>
          <t>Backend đang chạy cổng 3000; cài APK hoặc chạy app trên emulator/điện thoại; đăng nhập đúng vai trò.</t>
        </is>
      </c>
      <c r="G24" s="3" t="inlineStr">
        <is>
          <t>1. Mở vị trí test: Mobile app &gt; Hóa đơn/Công nợ.
2. Thực hiện tình huống: Refresh hóa đơn sau khi thanh toán.
3. Kiểm tra giao diện, dữ liệu lưu trong hệ thống và phản hồi lỗi/thành công.</t>
        </is>
      </c>
      <c r="H24" s="3" t="inlineStr">
        <is>
          <t>1. Open test location: Mobile app &gt; Hóa đơn/Công nợ.
2. Execute scenario: Refresh invoices after payment.
3. Verify UI, saved data, and success/error response.</t>
        </is>
      </c>
      <c r="I24" s="3" t="inlineStr"/>
      <c r="J24" s="3" t="inlineStr">
        <is>
          <t>Không hiển thị lại nút thanh toán cho hóa đơn đã paid.</t>
        </is>
      </c>
      <c r="K24" s="3" t="inlineStr">
        <is>
          <t>Paid invoice no longer shows pay button.</t>
        </is>
      </c>
      <c r="L24" s="9" t="inlineStr"/>
      <c r="M24" s="10" t="inlineStr">
        <is>
          <t>Pending / Chưa chạy</t>
        </is>
      </c>
      <c r="N24" s="3" t="inlineStr">
        <is>
          <t>Chưa chạy / Not executed</t>
        </is>
      </c>
      <c r="O24" s="3" t="inlineStr"/>
    </row>
    <row r="25" ht="96" customHeight="1">
      <c r="A25" s="9" t="inlineStr">
        <is>
          <t>MOB-BILL-014</t>
        </is>
      </c>
      <c r="B25" s="3" t="inlineStr">
        <is>
          <t>Hóa đơn và công nợ</t>
        </is>
      </c>
      <c r="C25" s="3" t="inlineStr">
        <is>
          <t>Mobile app &gt; Hóa đơn/Công nợ</t>
        </is>
      </c>
      <c r="D25" s="3" t="inlineStr">
        <is>
          <t>Hóa đơn rỗng không thanh toán được</t>
        </is>
      </c>
      <c r="E25" s="3" t="inlineStr">
        <is>
          <t>Empty invoice cannot be paid</t>
        </is>
      </c>
      <c r="F25" s="3" t="inlineStr">
        <is>
          <t>Backend đang chạy cổng 3000; cài APK hoặc chạy app trên emulator/điện thoại; đăng nhập đúng vai trò.</t>
        </is>
      </c>
      <c r="G25" s="3" t="inlineStr">
        <is>
          <t>1. Mở vị trí test: Mobile app &gt; Hóa đơn/Công nợ.
2. Thực hiện tình huống: Hóa đơn rỗng không thanh toán được.
3. Kiểm tra giao diện, dữ liệu lưu trong hệ thống và phản hồi lỗi/thành công.</t>
        </is>
      </c>
      <c r="H25" s="3" t="inlineStr">
        <is>
          <t>1. Open test location: Mobile app &gt; Hóa đơn/Công nợ.
2. Execute scenario: Empty invoice cannot be paid.
3. Verify UI, saved data, and success/error response.</t>
        </is>
      </c>
      <c r="I25" s="3" t="inlineStr"/>
      <c r="J25" s="3" t="inlineStr">
        <is>
          <t>API chặn hóa đơn không có item hoặc tổng bằng 0 theo quy tắc.</t>
        </is>
      </c>
      <c r="K25" s="3" t="inlineStr">
        <is>
          <t>API blocks invoices with no items or zero total per rule.</t>
        </is>
      </c>
      <c r="L25" s="9" t="inlineStr"/>
      <c r="M25" s="10" t="inlineStr">
        <is>
          <t>Pending / Chưa chạy</t>
        </is>
      </c>
      <c r="N25" s="3" t="inlineStr">
        <is>
          <t>Chưa chạy / Not executed</t>
        </is>
      </c>
      <c r="O25" s="3" t="inlineStr"/>
    </row>
    <row r="26" ht="96" customHeight="1">
      <c r="A26" s="9" t="inlineStr">
        <is>
          <t>MOB-BILL-015</t>
        </is>
      </c>
      <c r="B26" s="3" t="inlineStr">
        <is>
          <t>Hóa đơn và công nợ</t>
        </is>
      </c>
      <c r="C26" s="3" t="inlineStr">
        <is>
          <t>Mobile app &gt; Hóa đơn/Công nợ</t>
        </is>
      </c>
      <c r="D26" s="3" t="inlineStr">
        <is>
          <t>Công nợ có số điện thoại sai định dạng</t>
        </is>
      </c>
      <c r="E26" s="3" t="inlineStr">
        <is>
          <t>Debt with invalid phone format</t>
        </is>
      </c>
      <c r="F26" s="3" t="inlineStr">
        <is>
          <t>Backend đang chạy cổng 3000; cài APK hoặc chạy app trên emulator/điện thoại; đăng nhập đúng vai trò.</t>
        </is>
      </c>
      <c r="G26" s="3" t="inlineStr">
        <is>
          <t>1. Mở vị trí test: Mobile app &gt; Hóa đơn/Công nợ.
2. Thực hiện tình huống: Công nợ có số điện thoại sai định dạng.
3. Kiểm tra giao diện, dữ liệu lưu trong hệ thống và phản hồi lỗi/thành công.</t>
        </is>
      </c>
      <c r="H26" s="3" t="inlineStr">
        <is>
          <t>1. Open test location: Mobile app &gt; Hóa đơn/Công nợ.
2. Execute scenario: Debt with invalid phone format.
3. Verify UI, saved data, and success/error response.</t>
        </is>
      </c>
      <c r="I26" s="3" t="inlineStr">
        <is>
          <t>abc123</t>
        </is>
      </c>
      <c r="J26" s="3" t="inlineStr">
        <is>
          <t>App cảnh báo hoặc lưu theo chính sách, không crash.</t>
        </is>
      </c>
      <c r="K26" s="3" t="inlineStr">
        <is>
          <t>App warns or stores per policy without crashing.</t>
        </is>
      </c>
      <c r="L26" s="9" t="inlineStr"/>
      <c r="M26" s="10" t="inlineStr">
        <is>
          <t>Pending / Chưa chạy</t>
        </is>
      </c>
      <c r="N26" s="3" t="inlineStr">
        <is>
          <t>Chưa chạy / Not executed</t>
        </is>
      </c>
      <c r="O26" s="3" t="inlineStr"/>
    </row>
    <row r="27" ht="96" customHeight="1">
      <c r="A27" s="9" t="inlineStr">
        <is>
          <t>MOB-BILL-016</t>
        </is>
      </c>
      <c r="B27" s="3" t="inlineStr">
        <is>
          <t>Hóa đơn và công nợ</t>
        </is>
      </c>
      <c r="C27" s="3" t="inlineStr">
        <is>
          <t>Mobile app &gt; Hóa đơn/Công nợ</t>
        </is>
      </c>
      <c r="D27" s="3" t="inlineStr">
        <is>
          <t>Tiền hóa đơn/công nợ giữ định dạng VNĐ</t>
        </is>
      </c>
      <c r="E27" s="3" t="inlineStr">
        <is>
          <t>Invoice/debt amounts retain VND formatting</t>
        </is>
      </c>
      <c r="F27" s="3" t="inlineStr">
        <is>
          <t>Backend đang chạy cổng 3000; cài APK hoặc chạy app trên emulator/điện thoại; đăng nhập đúng vai trò.</t>
        </is>
      </c>
      <c r="G27" s="3" t="inlineStr">
        <is>
          <t>1. Mở vị trí test: Mobile app &gt; Hóa đơn/Công nợ.
2. Thực hiện tình huống: Tiền hóa đơn/công nợ giữ định dạng VNĐ.
3. Kiểm tra giao diện, dữ liệu lưu trong hệ thống và phản hồi lỗi/thành công.</t>
        </is>
      </c>
      <c r="H27" s="3" t="inlineStr">
        <is>
          <t>1. Open test location: Mobile app &gt; Hóa đơn/Công nợ.
2. Execute scenario: Invoice/debt amounts retain VND formatting.
3. Verify UI, saved data, and success/error response.</t>
        </is>
      </c>
      <c r="I27" s="3" t="inlineStr"/>
      <c r="J27" s="3" t="inlineStr">
        <is>
          <t>Mọi số tiền ở danh sách và chi tiết hiển thị nhất quán.</t>
        </is>
      </c>
      <c r="K27" s="3" t="inlineStr">
        <is>
          <t>All list/detail amounts display consistently.</t>
        </is>
      </c>
      <c r="L27" s="9" t="inlineStr"/>
      <c r="M27" s="10" t="inlineStr">
        <is>
          <t>Pending / Chưa chạy</t>
        </is>
      </c>
      <c r="N27" s="3" t="inlineStr">
        <is>
          <t>Chưa chạy / Not executed</t>
        </is>
      </c>
      <c r="O27" s="3" t="inlineStr"/>
    </row>
  </sheetData>
  <autoFilter ref="A9:O27"/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52" customWidth="1" min="3" max="3"/>
    <col width="28" customWidth="1" min="4" max="4"/>
    <col width="16" customWidth="1" min="5" max="5"/>
    <col width="14" customWidth="1" min="6" max="6"/>
    <col width="28" customWidth="1" min="7" max="7"/>
  </cols>
  <sheetData>
    <row r="1">
      <c r="A1" s="6" t="inlineStr">
        <is>
          <t>TEST REPORT</t>
        </is>
      </c>
    </row>
    <row r="3">
      <c r="A3" s="7" t="inlineStr">
        <is>
          <t>System Name</t>
        </is>
      </c>
      <c r="B3" s="3" t="inlineStr">
        <is>
          <t>Quản Lý Nhà Hàng / Restaurant Management System</t>
        </is>
      </c>
    </row>
    <row r="4">
      <c r="A4" s="7" t="inlineStr">
        <is>
          <t>Module</t>
        </is>
      </c>
      <c r="B4" s="3" t="inlineStr">
        <is>
          <t>Mobile - Hóa đơn và công nợ / Mobile - Invoices and Debts</t>
        </is>
      </c>
    </row>
    <row r="5">
      <c r="A5" s="7" t="inlineStr">
        <is>
          <t>Module Code</t>
        </is>
      </c>
      <c r="B5" s="3" t="inlineStr">
        <is>
          <t>MOB-BILL</t>
        </is>
      </c>
    </row>
    <row r="6">
      <c r="A6" s="7" t="inlineStr">
        <is>
          <t>Issue date</t>
        </is>
      </c>
      <c r="B6" s="3" t="inlineStr">
        <is>
          <t>21/05/2026</t>
        </is>
      </c>
    </row>
    <row r="7">
      <c r="A7" s="7" t="inlineStr">
        <is>
          <t>Total test cases</t>
        </is>
      </c>
      <c r="B7" s="3" t="n">
        <v>16</v>
      </c>
    </row>
    <row r="10">
      <c r="A10" s="8" t="inlineStr">
        <is>
          <t>Result</t>
        </is>
      </c>
      <c r="B10" s="8" t="inlineStr">
        <is>
          <t>Count</t>
        </is>
      </c>
      <c r="C10" s="8" t="inlineStr">
        <is>
          <t>Meaning / Ý nghĩa</t>
        </is>
      </c>
      <c r="D10" s="8" t="inlineStr">
        <is>
          <t>Scope</t>
        </is>
      </c>
      <c r="E10" s="8" t="inlineStr">
        <is>
          <t>Owner</t>
        </is>
      </c>
      <c r="F10" s="8" t="inlineStr">
        <is>
          <t>Date</t>
        </is>
      </c>
      <c r="G10" s="8" t="inlineStr">
        <is>
          <t>Note</t>
        </is>
      </c>
    </row>
    <row r="11">
      <c r="A11" s="11" t="inlineStr">
        <is>
          <t>Pass / Đạt</t>
        </is>
      </c>
      <c r="B11" s="3">
        <f>COUNTIF('Test Cases'!M12:M500,"Pass*")</f>
        <v/>
      </c>
      <c r="C11" s="3" t="inlineStr">
        <is>
          <t>Executed and matched expected result / Đã chạy và đúng mong đợi</t>
        </is>
      </c>
      <c r="D11" s="3" t="inlineStr">
        <is>
          <t>Mobile - Hóa đơn và công nợ</t>
        </is>
      </c>
      <c r="E11" s="3" t="inlineStr">
        <is>
          <t>QA / Dev</t>
        </is>
      </c>
      <c r="F11" s="3" t="inlineStr">
        <is>
          <t>21/05/2026</t>
        </is>
      </c>
      <c r="G11" s="3" t="inlineStr"/>
    </row>
    <row r="12">
      <c r="A12" s="12" t="inlineStr">
        <is>
          <t>Fail / Không đạt</t>
        </is>
      </c>
      <c r="B12" s="3">
        <f>COUNTIF('Test Cases'!M12:M500,"Fail*")</f>
        <v/>
      </c>
      <c r="C12" s="3" t="inlineStr">
        <is>
          <t>Executed but did not match expected result / Đã chạy nhưng sai mong đợi</t>
        </is>
      </c>
      <c r="D12" s="3" t="inlineStr">
        <is>
          <t>Mobile - Hóa đơn và công nợ</t>
        </is>
      </c>
      <c r="E12" s="3" t="inlineStr">
        <is>
          <t>QA / Dev</t>
        </is>
      </c>
      <c r="F12" s="3" t="inlineStr">
        <is>
          <t>21/05/2026</t>
        </is>
      </c>
      <c r="G12" s="3" t="inlineStr"/>
    </row>
    <row r="13">
      <c r="A13" s="13" t="inlineStr">
        <is>
          <t>Pending / Chưa chạy</t>
        </is>
      </c>
      <c r="B13" s="3">
        <f>COUNTIF('Test Cases'!M12:M500,"Pending*")</f>
        <v/>
      </c>
      <c r="C13" s="3" t="inlineStr">
        <is>
          <t>Written but not yet executed manually / Đã viết, chưa chạy thủ công</t>
        </is>
      </c>
      <c r="D13" s="3" t="inlineStr">
        <is>
          <t>Mobile - Hóa đơn và công nợ</t>
        </is>
      </c>
      <c r="E13" s="3" t="inlineStr">
        <is>
          <t>QA / Dev</t>
        </is>
      </c>
      <c r="F13" s="3" t="inlineStr">
        <is>
          <t>21/05/2026</t>
        </is>
      </c>
      <c r="G13" s="3" t="inlineStr"/>
    </row>
    <row r="14">
      <c r="A14" s="3" t="inlineStr">
        <is>
          <t>Number of test cases</t>
        </is>
      </c>
      <c r="B14" s="3">
        <f>COUNTA('Test Cases'!A12:A500)</f>
        <v/>
      </c>
      <c r="C14" s="3" t="inlineStr">
        <is>
          <t>Total case rows / Tổng số dòng case</t>
        </is>
      </c>
      <c r="D14" s="3" t="inlineStr">
        <is>
          <t>Mobile - Hóa đơn và công nợ</t>
        </is>
      </c>
      <c r="E14" s="3" t="inlineStr">
        <is>
          <t>QA / Dev</t>
        </is>
      </c>
      <c r="F14" s="3" t="inlineStr">
        <is>
          <t>21/05/2026</t>
        </is>
      </c>
      <c r="G14" s="3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2026-05-21T11:33:23Z</dcterms:created>
  <dcterms:modified xmlns:dcterms="http://purl.org/dc/terms/" xmlns:xsi="http://www.w3.org/2001/XMLSchema-instance" xsi:type="dcterms:W3CDTF">2026-05-21T11:33:23Z</dcterms:modified>
</cp:coreProperties>
</file>