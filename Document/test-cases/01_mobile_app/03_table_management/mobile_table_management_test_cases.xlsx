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Report" sheetId="3" state="visible" r:id="rId3"/>
  </sheets>
  <definedNames>
    <definedName name="_xlnm._FilterDatabase" localSheetId="1" hidden="1">'Test Cases'!$A$9:$O$27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b val="1"/>
    </font>
    <font>
      <b val="1"/>
      <color rgb="00FFFFFF"/>
    </font>
    <font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AF4FF"/>
      </patternFill>
    </fill>
    <fill>
      <patternFill patternType="solid">
        <fgColor rgb="00D9EAF7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44" customWidth="1" min="4" max="4"/>
    <col width="18" customWidth="1" min="5" max="5"/>
    <col width="16" customWidth="1" min="6" max="6"/>
    <col width="38" customWidth="1" min="7" max="7"/>
    <col width="14" customWidth="1" min="8" max="8"/>
  </cols>
  <sheetData>
    <row r="1">
      <c r="A1" s="1" t="inlineStr">
        <is>
          <t>TEST CASE</t>
        </is>
      </c>
    </row>
    <row r="2"/>
    <row r="4">
      <c r="A4" s="2" t="inlineStr">
        <is>
          <t>Project Name</t>
        </is>
      </c>
      <c r="B4" s="3" t="inlineStr">
        <is>
          <t>Quản Lý Nhà Hàng / Restaurant Management System</t>
        </is>
      </c>
    </row>
    <row r="5">
      <c r="A5" s="2" t="inlineStr">
        <is>
          <t>Project Code</t>
        </is>
      </c>
      <c r="B5" s="3" t="inlineStr">
        <is>
          <t>RMS-FLUTTER-NODE</t>
        </is>
      </c>
    </row>
    <row r="6">
      <c r="A6" s="2" t="inlineStr">
        <is>
          <t>Module</t>
        </is>
      </c>
      <c r="B6" s="3" t="inlineStr">
        <is>
          <t>Mobile - Quản lý bàn / Mobile - Table Management</t>
        </is>
      </c>
    </row>
    <row r="7">
      <c r="A7" s="2" t="inlineStr">
        <is>
          <t>Module Code</t>
        </is>
      </c>
      <c r="B7" s="3" t="inlineStr">
        <is>
          <t>MOB-TABLE</t>
        </is>
      </c>
    </row>
    <row r="8">
      <c r="A8" s="2" t="inlineStr">
        <is>
          <t>Version</t>
        </is>
      </c>
      <c r="B8" s="3" t="inlineStr">
        <is>
          <t>1.0</t>
        </is>
      </c>
    </row>
    <row r="9">
      <c r="A9" s="2" t="inlineStr">
        <is>
          <t>Issue date</t>
        </is>
      </c>
      <c r="B9" s="3" t="inlineStr">
        <is>
          <t>21/05/2026</t>
        </is>
      </c>
    </row>
    <row r="10">
      <c r="A10" s="2" t="inlineStr">
        <is>
          <t>Total test cases</t>
        </is>
      </c>
      <c r="B10" s="3" t="n">
        <v>16</v>
      </c>
    </row>
    <row r="11">
      <c r="A11" s="2" t="inlineStr">
        <is>
          <t>Language</t>
        </is>
      </c>
      <c r="B11" s="3" t="inlineStr">
        <is>
          <t>Tiếng Việt + English</t>
        </is>
      </c>
    </row>
    <row r="12">
      <c r="A12" s="2" t="inlineStr">
        <is>
          <t>Result policy</t>
        </is>
      </c>
      <c r="B12" s="3" t="inlineStr">
        <is>
          <t>Pass/Fail only for executed smoke checks; Pending means written but not executed manually.</t>
        </is>
      </c>
    </row>
    <row r="14">
      <c r="A14" s="4" t="inlineStr">
        <is>
          <t>Record of change / Lịch sử thay đổi</t>
        </is>
      </c>
    </row>
    <row r="15">
      <c r="A15" s="5" t="inlineStr">
        <is>
          <t>Version</t>
        </is>
      </c>
      <c r="B15" s="5" t="inlineStr">
        <is>
          <t>Date</t>
        </is>
      </c>
      <c r="C15" s="5" t="inlineStr">
        <is>
          <t>Author</t>
        </is>
      </c>
      <c r="D15" s="5" t="inlineStr">
        <is>
          <t>Change description</t>
        </is>
      </c>
      <c r="E15" s="5" t="inlineStr">
        <is>
          <t>Reviewer</t>
        </is>
      </c>
      <c r="F15" s="5" t="inlineStr">
        <is>
          <t>Status</t>
        </is>
      </c>
      <c r="G15" s="5" t="inlineStr">
        <is>
          <t>Note</t>
        </is>
      </c>
      <c r="H15" s="5" t="inlineStr"/>
    </row>
    <row r="16">
      <c r="A16" s="3" t="inlineStr">
        <is>
          <t>1.0</t>
        </is>
      </c>
      <c r="B16" s="3" t="inlineStr">
        <is>
          <t>21/05/2026</t>
        </is>
      </c>
      <c r="C16" s="3" t="inlineStr">
        <is>
          <t>Codex</t>
        </is>
      </c>
      <c r="D16" s="3" t="inlineStr">
        <is>
          <t>Create bilingual test cases for Mobile - Quản lý bàn</t>
        </is>
      </c>
      <c r="E16" s="3" t="inlineStr"/>
      <c r="F16" s="3" t="inlineStr">
        <is>
          <t>Draft</t>
        </is>
      </c>
      <c r="G16" s="3" t="inlineStr">
        <is>
          <t>Kiểm tra sơ đồ bàn, nhấn nhanh gọi món và nhấn giữ sửa/xóa bàn</t>
        </is>
      </c>
      <c r="H16" s="3" t="inlineStr"/>
    </row>
  </sheetData>
  <mergeCells count="2">
    <mergeCell ref="A1:H2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34" customWidth="1" min="4" max="4"/>
    <col width="34" customWidth="1" min="5" max="5"/>
    <col width="34" customWidth="1" min="6" max="6"/>
    <col width="44" customWidth="1" min="7" max="7"/>
    <col width="44" customWidth="1" min="8" max="8"/>
    <col width="28" customWidth="1" min="9" max="9"/>
    <col width="38" customWidth="1" min="10" max="10"/>
    <col width="38" customWidth="1" min="11" max="11"/>
    <col width="14" customWidth="1" min="12" max="12"/>
    <col width="18" customWidth="1" min="13" max="13"/>
    <col width="38" customWidth="1" min="14" max="14"/>
    <col width="28" customWidth="1" min="15" max="15"/>
  </cols>
  <sheetData>
    <row r="1">
      <c r="A1" s="6" t="inlineStr">
        <is>
          <t>TEST CASE</t>
        </is>
      </c>
    </row>
    <row r="3">
      <c r="A3" s="7" t="inlineStr">
        <is>
          <t>System Name:</t>
        </is>
      </c>
      <c r="B3" s="3" t="inlineStr">
        <is>
          <t>Quản Lý Nhà Hàng / Restaurant Management System</t>
        </is>
      </c>
    </row>
    <row r="4">
      <c r="A4" s="7" t="inlineStr">
        <is>
          <t>Module Code:</t>
        </is>
      </c>
      <c r="B4" s="3" t="inlineStr">
        <is>
          <t>MOB-TABLE</t>
        </is>
      </c>
    </row>
    <row r="5">
      <c r="A5" s="7" t="inlineStr">
        <is>
          <t>Test requirement:</t>
        </is>
      </c>
      <c r="B5" s="3" t="inlineStr">
        <is>
          <t>Kiểm tra sơ đồ bàn, nhấn nhanh gọi món và nhấn giữ sửa/xóa bàn</t>
        </is>
      </c>
    </row>
    <row r="6">
      <c r="A6" s="7" t="inlineStr">
        <is>
          <t>Pass</t>
        </is>
      </c>
      <c r="B6" s="3">
        <f>COUNTIF(M12:M500,"Pass*")</f>
        <v/>
      </c>
      <c r="C6" s="7" t="inlineStr">
        <is>
          <t>Pending</t>
        </is>
      </c>
      <c r="D6" s="3">
        <f>COUNTIF(M12:M500,"Pending*")</f>
        <v/>
      </c>
    </row>
    <row r="7">
      <c r="A7" s="7" t="inlineStr">
        <is>
          <t>Fail</t>
        </is>
      </c>
      <c r="B7" s="3">
        <f>COUNTIF(M12:M500,"Fail*")</f>
        <v/>
      </c>
      <c r="C7" s="7" t="inlineStr">
        <is>
          <t>Number of test cases:</t>
        </is>
      </c>
      <c r="D7" s="3">
        <f>COUNTA(A12:A500)</f>
        <v/>
      </c>
    </row>
    <row r="9">
      <c r="A9" s="8" t="inlineStr">
        <is>
          <t>ID</t>
        </is>
      </c>
      <c r="B9" s="8" t="inlineStr">
        <is>
          <t>Function / Chức năng</t>
        </is>
      </c>
      <c r="C9" s="8" t="inlineStr">
        <is>
          <t>Test location / Vị trí test</t>
        </is>
      </c>
      <c r="D9" s="8" t="inlineStr">
        <is>
          <t>Test Case Description (VI)</t>
        </is>
      </c>
      <c r="E9" s="8" t="inlineStr">
        <is>
          <t>Test Case Description (EN)</t>
        </is>
      </c>
      <c r="F9" s="8" t="inlineStr">
        <is>
          <t>Preconditions / Tiền điều kiện</t>
        </is>
      </c>
      <c r="G9" s="8" t="inlineStr">
        <is>
          <t>Test Case Procedure (VI)</t>
        </is>
      </c>
      <c r="H9" s="8" t="inlineStr">
        <is>
          <t>Test Case Procedure (EN)</t>
        </is>
      </c>
      <c r="I9" s="8" t="inlineStr">
        <is>
          <t>Test Data / Dữ liệu</t>
        </is>
      </c>
      <c r="J9" s="8" t="inlineStr">
        <is>
          <t>Expected Output (VI)</t>
        </is>
      </c>
      <c r="K9" s="8" t="inlineStr">
        <is>
          <t>Expected Output (EN)</t>
        </is>
      </c>
      <c r="L9" s="8" t="inlineStr">
        <is>
          <t>Test date</t>
        </is>
      </c>
      <c r="M9" s="8" t="inlineStr">
        <is>
          <t>Result / Kết quả</t>
        </is>
      </c>
      <c r="N9" s="8" t="inlineStr">
        <is>
          <t>Actual Result / Kết quả thực tế</t>
        </is>
      </c>
      <c r="O9" s="8" t="inlineStr">
        <is>
          <t>Note / Ghi chú</t>
        </is>
      </c>
    </row>
    <row r="12" ht="96" customHeight="1">
      <c r="A12" s="9" t="inlineStr">
        <is>
          <t>MOB-TABLE-001</t>
        </is>
      </c>
      <c r="B12" s="3" t="inlineStr">
        <is>
          <t>Quản lý bàn</t>
        </is>
      </c>
      <c r="C12" s="3" t="inlineStr">
        <is>
          <t>Mobile app &gt; Quản lý bàn</t>
        </is>
      </c>
      <c r="D12" s="3" t="inlineStr">
        <is>
          <t>Sơ đồ bàn hiển thị đủ bàn từ backend</t>
        </is>
      </c>
      <c r="E12" s="3" t="inlineStr">
        <is>
          <t>Table map displays all backend tables</t>
        </is>
      </c>
      <c r="F12" s="3" t="inlineStr">
        <is>
          <t>Backend đang chạy cổng 3000; cài APK hoặc chạy app trên emulator/điện thoại; đăng nhập đúng vai trò.</t>
        </is>
      </c>
      <c r="G12" s="3" t="inlineStr">
        <is>
          <t>1. Mở vị trí test: Mobile app &gt; Quản lý bàn.
2. Thực hiện tình huống: Sơ đồ bàn hiển thị đủ bàn từ backend.
3. Kiểm tra giao diện, dữ liệu lưu trong hệ thống và phản hồi lỗi/thành công.</t>
        </is>
      </c>
      <c r="H12" s="3" t="inlineStr">
        <is>
          <t>1. Open test location: Mobile app &gt; Quản lý bàn.
2. Execute scenario: Table map displays all backend tables.
3. Verify UI, saved data, and success/error response.</t>
        </is>
      </c>
      <c r="I12" s="3" t="inlineStr"/>
      <c r="J12" s="3" t="inlineStr">
        <is>
          <t>Tất cả bàn từ API /tables xuất hiện với tên, khu vực, số ghế và trạng thái.</t>
        </is>
      </c>
      <c r="K12" s="3" t="inlineStr">
        <is>
          <t>All tables from /tables appear with name, area, seats, and status.</t>
        </is>
      </c>
      <c r="L12" s="9" t="inlineStr"/>
      <c r="M12" s="10" t="inlineStr">
        <is>
          <t>Pending / Chưa chạy</t>
        </is>
      </c>
      <c r="N12" s="3" t="inlineStr">
        <is>
          <t>Chưa chạy / Not executed</t>
        </is>
      </c>
      <c r="O12" s="3" t="inlineStr"/>
    </row>
    <row r="13" ht="96" customHeight="1">
      <c r="A13" s="9" t="inlineStr">
        <is>
          <t>MOB-TABLE-002</t>
        </is>
      </c>
      <c r="B13" s="3" t="inlineStr">
        <is>
          <t>Quản lý bàn</t>
        </is>
      </c>
      <c r="C13" s="3" t="inlineStr">
        <is>
          <t>Mobile app &gt; Quản lý bàn</t>
        </is>
      </c>
      <c r="D13" s="3" t="inlineStr">
        <is>
          <t>Card bàn không bị bottom overflow trên màn hình 480x864</t>
        </is>
      </c>
      <c r="E13" s="3" t="inlineStr">
        <is>
          <t>Table cards do not bottom-overflow at 480x864</t>
        </is>
      </c>
      <c r="F13" s="3" t="inlineStr">
        <is>
          <t>Backend đang chạy cổng 3000; cài APK hoặc chạy app trên emulator/điện thoại; đăng nhập đúng vai trò.</t>
        </is>
      </c>
      <c r="G13" s="3" t="inlineStr">
        <is>
          <t>1. Mở vị trí test: Mobile app &gt; Quản lý bàn.
2. Thực hiện tình huống: Card bàn không bị bottom overflow trên màn hình 480x864.
3. Kiểm tra giao diện, dữ liệu lưu trong hệ thống và phản hồi lỗi/thành công.</t>
        </is>
      </c>
      <c r="H13" s="3" t="inlineStr">
        <is>
          <t>1. Open test location: Mobile app &gt; Quản lý bàn.
2. Execute scenario: Table cards do not bottom-overflow at 480x864.
3. Verify UI, saved data, and success/error response.</t>
        </is>
      </c>
      <c r="I13" s="3" t="inlineStr">
        <is>
          <t>480x864 viewport</t>
        </is>
      </c>
      <c r="J13" s="3" t="inlineStr">
        <is>
          <t>Không xuất hiện cảnh báo overflow màu vàng/đen; nút vẫn bấm được.</t>
        </is>
      </c>
      <c r="K13" s="3" t="inlineStr">
        <is>
          <t>No yellow/black overflow warning appears and actions remain tappable.</t>
        </is>
      </c>
      <c r="L13" s="9" t="inlineStr"/>
      <c r="M13" s="10" t="inlineStr">
        <is>
          <t>Pending / Chưa chạy</t>
        </is>
      </c>
      <c r="N13" s="3" t="inlineStr">
        <is>
          <t>Chưa chạy / Not executed</t>
        </is>
      </c>
      <c r="O13" s="3" t="inlineStr"/>
    </row>
    <row r="14" ht="96" customHeight="1">
      <c r="A14" s="9" t="inlineStr">
        <is>
          <t>MOB-TABLE-003</t>
        </is>
      </c>
      <c r="B14" s="3" t="inlineStr">
        <is>
          <t>Quản lý bàn</t>
        </is>
      </c>
      <c r="C14" s="3" t="inlineStr">
        <is>
          <t>Mobile app &gt; Quản lý bàn</t>
        </is>
      </c>
      <c r="D14" s="3" t="inlineStr">
        <is>
          <t>Nhấn nhanh vào bàn trống mở màn hình gọi món</t>
        </is>
      </c>
      <c r="E14" s="3" t="inlineStr">
        <is>
          <t>Quick tap available table opens order entry</t>
        </is>
      </c>
      <c r="F14" s="3" t="inlineStr">
        <is>
          <t>Backend đang chạy cổng 3000; cài APK hoặc chạy app trên emulator/điện thoại; đăng nhập đúng vai trò.</t>
        </is>
      </c>
      <c r="G14" s="3" t="inlineStr">
        <is>
          <t>1. Mở vị trí test: Mobile app &gt; Quản lý bàn.
2. Thực hiện tình huống: Nhấn nhanh vào bàn trống mở màn hình gọi món.
3. Kiểm tra giao diện, dữ liệu lưu trong hệ thống và phản hồi lỗi/thành công.</t>
        </is>
      </c>
      <c r="H14" s="3" t="inlineStr">
        <is>
          <t>1. Open test location: Mobile app &gt; Quản lý bàn.
2. Execute scenario: Quick tap available table opens order entry.
3. Verify UI, saved data, and success/error response.</t>
        </is>
      </c>
      <c r="I14" s="3" t="inlineStr"/>
      <c r="J14" s="3" t="inlineStr">
        <is>
          <t>App điều hướng sang danh sách món ăn của đúng bàn.</t>
        </is>
      </c>
      <c r="K14" s="3" t="inlineStr">
        <is>
          <t>App navigates to menu/order entry for the selected table.</t>
        </is>
      </c>
      <c r="L14" s="9" t="inlineStr"/>
      <c r="M14" s="10" t="inlineStr">
        <is>
          <t>Pending / Chưa chạy</t>
        </is>
      </c>
      <c r="N14" s="3" t="inlineStr">
        <is>
          <t>Chưa chạy / Not executed</t>
        </is>
      </c>
      <c r="O14" s="3" t="inlineStr"/>
    </row>
    <row r="15" ht="96" customHeight="1">
      <c r="A15" s="9" t="inlineStr">
        <is>
          <t>MOB-TABLE-004</t>
        </is>
      </c>
      <c r="B15" s="3" t="inlineStr">
        <is>
          <t>Quản lý bàn</t>
        </is>
      </c>
      <c r="C15" s="3" t="inlineStr">
        <is>
          <t>Mobile app &gt; Quản lý bàn</t>
        </is>
      </c>
      <c r="D15" s="3" t="inlineStr">
        <is>
          <t>Nhấn giữ bàn mở sheet thêm/sửa/xóa</t>
        </is>
      </c>
      <c r="E15" s="3" t="inlineStr">
        <is>
          <t>Long press table opens add/edit/delete sheet</t>
        </is>
      </c>
      <c r="F15" s="3" t="inlineStr">
        <is>
          <t>Backend đang chạy cổng 3000; cài APK hoặc chạy app trên emulator/điện thoại; đăng nhập đúng vai trò.</t>
        </is>
      </c>
      <c r="G15" s="3" t="inlineStr">
        <is>
          <t>1. Mở vị trí test: Mobile app &gt; Quản lý bàn.
2. Thực hiện tình huống: Nhấn giữ bàn mở sheet thêm/sửa/xóa.
3. Kiểm tra giao diện, dữ liệu lưu trong hệ thống và phản hồi lỗi/thành công.</t>
        </is>
      </c>
      <c r="H15" s="3" t="inlineStr">
        <is>
          <t>1. Open test location: Mobile app &gt; Quản lý bàn.
2. Execute scenario: Long press table opens add/edit/delete sheet.
3. Verify UI, saved data, and success/error response.</t>
        </is>
      </c>
      <c r="I15" s="3" t="inlineStr"/>
      <c r="J15" s="3" t="inlineStr">
        <is>
          <t>Bottom sheet có các hành động quản lý bàn hợp lệ.</t>
        </is>
      </c>
      <c r="K15" s="3" t="inlineStr">
        <is>
          <t>Bottom sheet shows valid table management actions.</t>
        </is>
      </c>
      <c r="L15" s="9" t="inlineStr"/>
      <c r="M15" s="10" t="inlineStr">
        <is>
          <t>Pending / Chưa chạy</t>
        </is>
      </c>
      <c r="N15" s="3" t="inlineStr">
        <is>
          <t>Chưa chạy / Not executed</t>
        </is>
      </c>
      <c r="O15" s="3" t="inlineStr"/>
    </row>
    <row r="16" ht="96" customHeight="1">
      <c r="A16" s="9" t="inlineStr">
        <is>
          <t>MOB-TABLE-005</t>
        </is>
      </c>
      <c r="B16" s="3" t="inlineStr">
        <is>
          <t>Quản lý bàn</t>
        </is>
      </c>
      <c r="C16" s="3" t="inlineStr">
        <is>
          <t>Mobile app &gt; Quản lý bàn</t>
        </is>
      </c>
      <c r="D16" s="3" t="inlineStr">
        <is>
          <t>Thêm bàn mới với tên, số ghế và khu vực</t>
        </is>
      </c>
      <c r="E16" s="3" t="inlineStr">
        <is>
          <t>Add new table with name, seats, and area</t>
        </is>
      </c>
      <c r="F16" s="3" t="inlineStr">
        <is>
          <t>Backend đang chạy cổng 3000; cài APK hoặc chạy app trên emulator/điện thoại; đăng nhập đúng vai trò.</t>
        </is>
      </c>
      <c r="G16" s="3" t="inlineStr">
        <is>
          <t>1. Mở vị trí test: Mobile app &gt; Quản lý bàn.
2. Thực hiện tình huống: Thêm bàn mới với tên, số ghế và khu vực.
3. Kiểm tra giao diện, dữ liệu lưu trong hệ thống và phản hồi lỗi/thành công.</t>
        </is>
      </c>
      <c r="H16" s="3" t="inlineStr">
        <is>
          <t>1. Open test location: Mobile app &gt; Quản lý bàn.
2. Execute scenario: Add new table with name, seats, and area.
3. Verify UI, saved data, and success/error response.</t>
        </is>
      </c>
      <c r="I16" s="3" t="inlineStr">
        <is>
          <t>Bàn Test / 4 / Tầng 2</t>
        </is>
      </c>
      <c r="J16" s="3" t="inlineStr">
        <is>
          <t>Bàn mới xuất hiện sau khi lưu và có id không trùng.</t>
        </is>
      </c>
      <c r="K16" s="3" t="inlineStr">
        <is>
          <t>New table appears after saving and has a unique id.</t>
        </is>
      </c>
      <c r="L16" s="9" t="inlineStr"/>
      <c r="M16" s="10" t="inlineStr">
        <is>
          <t>Pending / Chưa chạy</t>
        </is>
      </c>
      <c r="N16" s="3" t="inlineStr">
        <is>
          <t>Chưa chạy / Not executed</t>
        </is>
      </c>
      <c r="O16" s="3" t="inlineStr"/>
    </row>
    <row r="17" ht="96" customHeight="1">
      <c r="A17" s="9" t="inlineStr">
        <is>
          <t>MOB-TABLE-006</t>
        </is>
      </c>
      <c r="B17" s="3" t="inlineStr">
        <is>
          <t>Quản lý bàn</t>
        </is>
      </c>
      <c r="C17" s="3" t="inlineStr">
        <is>
          <t>Mobile app &gt; Quản lý bàn</t>
        </is>
      </c>
      <c r="D17" s="3" t="inlineStr">
        <is>
          <t>Sửa tên bàn và số ghế</t>
        </is>
      </c>
      <c r="E17" s="3" t="inlineStr">
        <is>
          <t>Edit table name and seats</t>
        </is>
      </c>
      <c r="F17" s="3" t="inlineStr">
        <is>
          <t>Backend đang chạy cổng 3000; cài APK hoặc chạy app trên emulator/điện thoại; đăng nhập đúng vai trò.</t>
        </is>
      </c>
      <c r="G17" s="3" t="inlineStr">
        <is>
          <t>1. Mở vị trí test: Mobile app &gt; Quản lý bàn.
2. Thực hiện tình huống: Sửa tên bàn và số ghế.
3. Kiểm tra giao diện, dữ liệu lưu trong hệ thống và phản hồi lỗi/thành công.</t>
        </is>
      </c>
      <c r="H17" s="3" t="inlineStr">
        <is>
          <t>1. Open test location: Mobile app &gt; Quản lý bàn.
2. Execute scenario: Edit table name and seats.
3. Verify UI, saved data, and success/error response.</t>
        </is>
      </c>
      <c r="I17" s="3" t="inlineStr"/>
      <c r="J17" s="3" t="inlineStr">
        <is>
          <t>Thông tin bàn cập nhật trên grid và trong API.</t>
        </is>
      </c>
      <c r="K17" s="3" t="inlineStr">
        <is>
          <t>Updated table info appears in grid and API.</t>
        </is>
      </c>
      <c r="L17" s="9" t="inlineStr"/>
      <c r="M17" s="10" t="inlineStr">
        <is>
          <t>Pending / Chưa chạy</t>
        </is>
      </c>
      <c r="N17" s="3" t="inlineStr">
        <is>
          <t>Chưa chạy / Not executed</t>
        </is>
      </c>
      <c r="O17" s="3" t="inlineStr"/>
    </row>
    <row r="18" ht="96" customHeight="1">
      <c r="A18" s="9" t="inlineStr">
        <is>
          <t>MOB-TABLE-007</t>
        </is>
      </c>
      <c r="B18" s="3" t="inlineStr">
        <is>
          <t>Quản lý bàn</t>
        </is>
      </c>
      <c r="C18" s="3" t="inlineStr">
        <is>
          <t>Mobile app &gt; Quản lý bàn</t>
        </is>
      </c>
      <c r="D18" s="3" t="inlineStr">
        <is>
          <t>Xóa bàn chưa có đơn mở</t>
        </is>
      </c>
      <c r="E18" s="3" t="inlineStr">
        <is>
          <t>Delete table without open order</t>
        </is>
      </c>
      <c r="F18" s="3" t="inlineStr">
        <is>
          <t>Backend đang chạy cổng 3000; cài APK hoặc chạy app trên emulator/điện thoại; đăng nhập đúng vai trò.</t>
        </is>
      </c>
      <c r="G18" s="3" t="inlineStr">
        <is>
          <t>1. Mở vị trí test: Mobile app &gt; Quản lý bàn.
2. Thực hiện tình huống: Xóa bàn chưa có đơn mở.
3. Kiểm tra giao diện, dữ liệu lưu trong hệ thống và phản hồi lỗi/thành công.</t>
        </is>
      </c>
      <c r="H18" s="3" t="inlineStr">
        <is>
          <t>1. Open test location: Mobile app &gt; Quản lý bàn.
2. Execute scenario: Delete table without open order.
3. Verify UI, saved data, and success/error response.</t>
        </is>
      </c>
      <c r="I18" s="3" t="inlineStr"/>
      <c r="J18" s="3" t="inlineStr">
        <is>
          <t>Bàn biến mất khỏi danh sách và không ảnh hưởng bàn khác.</t>
        </is>
      </c>
      <c r="K18" s="3" t="inlineStr">
        <is>
          <t>Table is removed without affecting other tables.</t>
        </is>
      </c>
      <c r="L18" s="9" t="inlineStr"/>
      <c r="M18" s="10" t="inlineStr">
        <is>
          <t>Pending / Chưa chạy</t>
        </is>
      </c>
      <c r="N18" s="3" t="inlineStr">
        <is>
          <t>Chưa chạy / Not executed</t>
        </is>
      </c>
      <c r="O18" s="3" t="inlineStr"/>
    </row>
    <row r="19" ht="96" customHeight="1">
      <c r="A19" s="9" t="inlineStr">
        <is>
          <t>MOB-TABLE-008</t>
        </is>
      </c>
      <c r="B19" s="3" t="inlineStr">
        <is>
          <t>Quản lý bàn</t>
        </is>
      </c>
      <c r="C19" s="3" t="inlineStr">
        <is>
          <t>Mobile app &gt; Quản lý bàn</t>
        </is>
      </c>
      <c r="D19" s="3" t="inlineStr">
        <is>
          <t>Thử xóa bàn đang có đơn mở</t>
        </is>
      </c>
      <c r="E19" s="3" t="inlineStr">
        <is>
          <t>Attempt to delete table with open order</t>
        </is>
      </c>
      <c r="F19" s="3" t="inlineStr">
        <is>
          <t>Backend đang chạy cổng 3000; cài APK hoặc chạy app trên emulator/điện thoại; đăng nhập đúng vai trò.</t>
        </is>
      </c>
      <c r="G19" s="3" t="inlineStr">
        <is>
          <t>1. Mở vị trí test: Mobile app &gt; Quản lý bàn.
2. Thực hiện tình huống: Thử xóa bàn đang có đơn mở.
3. Kiểm tra giao diện, dữ liệu lưu trong hệ thống và phản hồi lỗi/thành công.</t>
        </is>
      </c>
      <c r="H19" s="3" t="inlineStr">
        <is>
          <t>1. Open test location: Mobile app &gt; Quản lý bàn.
2. Execute scenario: Attempt to delete table with open order.
3. Verify UI, saved data, and success/error response.</t>
        </is>
      </c>
      <c r="I19" s="3" t="inlineStr"/>
      <c r="J19" s="3" t="inlineStr">
        <is>
          <t>Hệ thống chặn hoặc xử lý an toàn để không mất hóa đơn.</t>
        </is>
      </c>
      <c r="K19" s="3" t="inlineStr">
        <is>
          <t>System blocks or safely handles deletion without losing invoice.</t>
        </is>
      </c>
      <c r="L19" s="9" t="inlineStr"/>
      <c r="M19" s="10" t="inlineStr">
        <is>
          <t>Pending / Chưa chạy</t>
        </is>
      </c>
      <c r="N19" s="3" t="inlineStr">
        <is>
          <t>Chưa chạy / Not executed</t>
        </is>
      </c>
      <c r="O19" s="3" t="inlineStr"/>
    </row>
    <row r="20" ht="96" customHeight="1">
      <c r="A20" s="9" t="inlineStr">
        <is>
          <t>MOB-TABLE-009</t>
        </is>
      </c>
      <c r="B20" s="3" t="inlineStr">
        <is>
          <t>Quản lý bàn</t>
        </is>
      </c>
      <c r="C20" s="3" t="inlineStr">
        <is>
          <t>Mobile app &gt; Quản lý bàn</t>
        </is>
      </c>
      <c r="D20" s="3" t="inlineStr">
        <is>
          <t>Trạng thái bàn đặt trước hiển thị chip màu cam</t>
        </is>
      </c>
      <c r="E20" s="3" t="inlineStr">
        <is>
          <t>Reserved table shows orange status chip</t>
        </is>
      </c>
      <c r="F20" s="3" t="inlineStr">
        <is>
          <t>Backend đang chạy cổng 3000; cài APK hoặc chạy app trên emulator/điện thoại; đăng nhập đúng vai trò.</t>
        </is>
      </c>
      <c r="G20" s="3" t="inlineStr">
        <is>
          <t>1. Mở vị trí test: Mobile app &gt; Quản lý bàn.
2. Thực hiện tình huống: Trạng thái bàn đặt trước hiển thị chip màu cam.
3. Kiểm tra giao diện, dữ liệu lưu trong hệ thống và phản hồi lỗi/thành công.</t>
        </is>
      </c>
      <c r="H20" s="3" t="inlineStr">
        <is>
          <t>1. Open test location: Mobile app &gt; Quản lý bàn.
2. Execute scenario: Reserved table shows orange status chip.
3. Verify UI, saved data, and success/error response.</t>
        </is>
      </c>
      <c r="I20" s="3" t="inlineStr"/>
      <c r="J20" s="3" t="inlineStr">
        <is>
          <t>Bàn đặt trước có nhãn Đặt trước và màu trạng thái phù hợp.</t>
        </is>
      </c>
      <c r="K20" s="3" t="inlineStr">
        <is>
          <t>Reserved table displays reserved label and matching color.</t>
        </is>
      </c>
      <c r="L20" s="9" t="inlineStr"/>
      <c r="M20" s="10" t="inlineStr">
        <is>
          <t>Pending / Chưa chạy</t>
        </is>
      </c>
      <c r="N20" s="3" t="inlineStr">
        <is>
          <t>Chưa chạy / Not executed</t>
        </is>
      </c>
      <c r="O20" s="3" t="inlineStr"/>
    </row>
    <row r="21" ht="96" customHeight="1">
      <c r="A21" s="9" t="inlineStr">
        <is>
          <t>MOB-TABLE-010</t>
        </is>
      </c>
      <c r="B21" s="3" t="inlineStr">
        <is>
          <t>Quản lý bàn</t>
        </is>
      </c>
      <c r="C21" s="3" t="inlineStr">
        <is>
          <t>Mobile app &gt; Quản lý bàn</t>
        </is>
      </c>
      <c r="D21" s="3" t="inlineStr">
        <is>
          <t>Bàn đang dùng đổi trạng thái sau khi tạo đơn</t>
        </is>
      </c>
      <c r="E21" s="3" t="inlineStr">
        <is>
          <t>Occupied status changes after order creation</t>
        </is>
      </c>
      <c r="F21" s="3" t="inlineStr">
        <is>
          <t>Backend đang chạy cổng 3000; cài APK hoặc chạy app trên emulator/điện thoại; đăng nhập đúng vai trò.</t>
        </is>
      </c>
      <c r="G21" s="3" t="inlineStr">
        <is>
          <t>1. Mở vị trí test: Mobile app &gt; Quản lý bàn.
2. Thực hiện tình huống: Bàn đang dùng đổi trạng thái sau khi tạo đơn.
3. Kiểm tra giao diện, dữ liệu lưu trong hệ thống và phản hồi lỗi/thành công.</t>
        </is>
      </c>
      <c r="H21" s="3" t="inlineStr">
        <is>
          <t>1. Open test location: Mobile app &gt; Quản lý bàn.
2. Execute scenario: Occupied status changes after order creation.
3. Verify UI, saved data, and success/error response.</t>
        </is>
      </c>
      <c r="I21" s="3" t="inlineStr"/>
      <c r="J21" s="3" t="inlineStr">
        <is>
          <t>Sau khi thêm món, bàn chuyển sang trạng thái đang dùng/occupied.</t>
        </is>
      </c>
      <c r="K21" s="3" t="inlineStr">
        <is>
          <t>After adding items, table becomes occupied.</t>
        </is>
      </c>
      <c r="L21" s="9" t="inlineStr"/>
      <c r="M21" s="10" t="inlineStr">
        <is>
          <t>Pending / Chưa chạy</t>
        </is>
      </c>
      <c r="N21" s="3" t="inlineStr">
        <is>
          <t>Chưa chạy / Not executed</t>
        </is>
      </c>
      <c r="O21" s="3" t="inlineStr"/>
    </row>
    <row r="22" ht="96" customHeight="1">
      <c r="A22" s="9" t="inlineStr">
        <is>
          <t>MOB-TABLE-011</t>
        </is>
      </c>
      <c r="B22" s="3" t="inlineStr">
        <is>
          <t>Quản lý bàn</t>
        </is>
      </c>
      <c r="C22" s="3" t="inlineStr">
        <is>
          <t>Mobile app &gt; Quản lý bàn</t>
        </is>
      </c>
      <c r="D22" s="3" t="inlineStr">
        <is>
          <t>Bấm chip hoặc nút Gọi món trong card</t>
        </is>
      </c>
      <c r="E22" s="3" t="inlineStr">
        <is>
          <t>Tap the call-order action chip inside table card</t>
        </is>
      </c>
      <c r="F22" s="3" t="inlineStr">
        <is>
          <t>Backend đang chạy cổng 3000; cài APK hoặc chạy app trên emulator/điện thoại; đăng nhập đúng vai trò.</t>
        </is>
      </c>
      <c r="G22" s="3" t="inlineStr">
        <is>
          <t>1. Mở vị trí test: Mobile app &gt; Quản lý bàn.
2. Thực hiện tình huống: Bấm chip hoặc nút Gọi món trong card.
3. Kiểm tra giao diện, dữ liệu lưu trong hệ thống và phản hồi lỗi/thành công.</t>
        </is>
      </c>
      <c r="H22" s="3" t="inlineStr">
        <is>
          <t>1. Open test location: Mobile app &gt; Quản lý bàn.
2. Execute scenario: Tap the call-order action chip inside table card.
3. Verify UI, saved data, and success/error response.</t>
        </is>
      </c>
      <c r="I22" s="3" t="inlineStr"/>
      <c r="J22" s="3" t="inlineStr">
        <is>
          <t>Nút mở cùng màn hình gọi món như nhấn vào card.</t>
        </is>
      </c>
      <c r="K22" s="3" t="inlineStr">
        <is>
          <t>Action chip opens the same order-entry screen.</t>
        </is>
      </c>
      <c r="L22" s="9" t="inlineStr"/>
      <c r="M22" s="10" t="inlineStr">
        <is>
          <t>Pending / Chưa chạy</t>
        </is>
      </c>
      <c r="N22" s="3" t="inlineStr">
        <is>
          <t>Chưa chạy / Not executed</t>
        </is>
      </c>
      <c r="O22" s="3" t="inlineStr"/>
    </row>
    <row r="23" ht="96" customHeight="1">
      <c r="A23" s="9" t="inlineStr">
        <is>
          <t>MOB-TABLE-012</t>
        </is>
      </c>
      <c r="B23" s="3" t="inlineStr">
        <is>
          <t>Quản lý bàn</t>
        </is>
      </c>
      <c r="C23" s="3" t="inlineStr">
        <is>
          <t>Mobile app &gt; Quản lý bàn</t>
        </is>
      </c>
      <c r="D23" s="3" t="inlineStr">
        <is>
          <t>Danh sách nhiều bàn vẫn cuộn mượt</t>
        </is>
      </c>
      <c r="E23" s="3" t="inlineStr">
        <is>
          <t>Large table list scrolls smoothly</t>
        </is>
      </c>
      <c r="F23" s="3" t="inlineStr">
        <is>
          <t>Backend đang chạy cổng 3000; cài APK hoặc chạy app trên emulator/điện thoại; đăng nhập đúng vai trò.</t>
        </is>
      </c>
      <c r="G23" s="3" t="inlineStr">
        <is>
          <t>1. Mở vị trí test: Mobile app &gt; Quản lý bàn.
2. Thực hiện tình huống: Danh sách nhiều bàn vẫn cuộn mượt.
3. Kiểm tra giao diện, dữ liệu lưu trong hệ thống và phản hồi lỗi/thành công.</t>
        </is>
      </c>
      <c r="H23" s="3" t="inlineStr">
        <is>
          <t>1. Open test location: Mobile app &gt; Quản lý bàn.
2. Execute scenario: Large table list scrolls smoothly.
3. Verify UI, saved data, and success/error response.</t>
        </is>
      </c>
      <c r="I23" s="3" t="inlineStr"/>
      <c r="J23" s="3" t="inlineStr">
        <is>
          <t>Grid không bị giật, không chồng nút khi có nhiều bàn.</t>
        </is>
      </c>
      <c r="K23" s="3" t="inlineStr">
        <is>
          <t>Grid remains smooth without overlapping actions.</t>
        </is>
      </c>
      <c r="L23" s="9" t="inlineStr"/>
      <c r="M23" s="10" t="inlineStr">
        <is>
          <t>Pending / Chưa chạy</t>
        </is>
      </c>
      <c r="N23" s="3" t="inlineStr">
        <is>
          <t>Chưa chạy / Not executed</t>
        </is>
      </c>
      <c r="O23" s="3" t="inlineStr"/>
    </row>
    <row r="24" ht="96" customHeight="1">
      <c r="A24" s="9" t="inlineStr">
        <is>
          <t>MOB-TABLE-013</t>
        </is>
      </c>
      <c r="B24" s="3" t="inlineStr">
        <is>
          <t>Quản lý bàn</t>
        </is>
      </c>
      <c r="C24" s="3" t="inlineStr">
        <is>
          <t>Mobile app &gt; Quản lý bàn</t>
        </is>
      </c>
      <c r="D24" s="3" t="inlineStr">
        <is>
          <t>Tên bàn quá dài được rút gọn hợp lý</t>
        </is>
      </c>
      <c r="E24" s="3" t="inlineStr">
        <is>
          <t>Very long table name is truncated cleanly</t>
        </is>
      </c>
      <c r="F24" s="3" t="inlineStr">
        <is>
          <t>Backend đang chạy cổng 3000; cài APK hoặc chạy app trên emulator/điện thoại; đăng nhập đúng vai trò.</t>
        </is>
      </c>
      <c r="G24" s="3" t="inlineStr">
        <is>
          <t>1. Mở vị trí test: Mobile app &gt; Quản lý bàn.
2. Thực hiện tình huống: Tên bàn quá dài được rút gọn hợp lý.
3. Kiểm tra giao diện, dữ liệu lưu trong hệ thống và phản hồi lỗi/thành công.</t>
        </is>
      </c>
      <c r="H24" s="3" t="inlineStr">
        <is>
          <t>1. Open test location: Mobile app &gt; Quản lý bàn.
2. Execute scenario: Very long table name is truncated cleanly.
3. Verify UI, saved data, and success/error response.</t>
        </is>
      </c>
      <c r="I24" s="3" t="inlineStr"/>
      <c r="J24" s="3" t="inlineStr">
        <is>
          <t>Tên dài không phá vỡ layout, có ellipsis hoặc xuống dòng an toàn.</t>
        </is>
      </c>
      <c r="K24" s="3" t="inlineStr">
        <is>
          <t>Long name does not break layout and is safely truncated/wrapped.</t>
        </is>
      </c>
      <c r="L24" s="9" t="inlineStr"/>
      <c r="M24" s="10" t="inlineStr">
        <is>
          <t>Pending / Chưa chạy</t>
        </is>
      </c>
      <c r="N24" s="3" t="inlineStr">
        <is>
          <t>Chưa chạy / Not executed</t>
        </is>
      </c>
      <c r="O24" s="3" t="inlineStr"/>
    </row>
    <row r="25" ht="96" customHeight="1">
      <c r="A25" s="9" t="inlineStr">
        <is>
          <t>MOB-TABLE-014</t>
        </is>
      </c>
      <c r="B25" s="3" t="inlineStr">
        <is>
          <t>Quản lý bàn</t>
        </is>
      </c>
      <c r="C25" s="3" t="inlineStr">
        <is>
          <t>Mobile app &gt; Quản lý bàn</t>
        </is>
      </c>
      <c r="D25" s="3" t="inlineStr">
        <is>
          <t>Nhập số ghế không hợp lệ khi thêm bàn</t>
        </is>
      </c>
      <c r="E25" s="3" t="inlineStr">
        <is>
          <t>Enter invalid seat count when adding a table</t>
        </is>
      </c>
      <c r="F25" s="3" t="inlineStr">
        <is>
          <t>Backend đang chạy cổng 3000; cài APK hoặc chạy app trên emulator/điện thoại; đăng nhập đúng vai trò.</t>
        </is>
      </c>
      <c r="G25" s="3" t="inlineStr">
        <is>
          <t>1. Mở vị trí test: Mobile app &gt; Quản lý bàn.
2. Thực hiện tình huống: Nhập số ghế không hợp lệ khi thêm bàn.
3. Kiểm tra giao diện, dữ liệu lưu trong hệ thống và phản hồi lỗi/thành công.</t>
        </is>
      </c>
      <c r="H25" s="3" t="inlineStr">
        <is>
          <t>1. Open test location: Mobile app &gt; Quản lý bàn.
2. Execute scenario: Enter invalid seat count when adding a table.
3. Verify UI, saved data, and success/error response.</t>
        </is>
      </c>
      <c r="I25" s="3" t="inlineStr">
        <is>
          <t>abc, -1, 0</t>
        </is>
      </c>
      <c r="J25" s="3" t="inlineStr">
        <is>
          <t>App dùng giá trị mặc định hoặc báo lỗi, không crash.</t>
        </is>
      </c>
      <c r="K25" s="3" t="inlineStr">
        <is>
          <t>App defaults or shows validation error without crashing.</t>
        </is>
      </c>
      <c r="L25" s="9" t="inlineStr"/>
      <c r="M25" s="10" t="inlineStr">
        <is>
          <t>Pending / Chưa chạy</t>
        </is>
      </c>
      <c r="N25" s="3" t="inlineStr">
        <is>
          <t>Chưa chạy / Not executed</t>
        </is>
      </c>
      <c r="O25" s="3" t="inlineStr"/>
    </row>
    <row r="26" ht="96" customHeight="1">
      <c r="A26" s="9" t="inlineStr">
        <is>
          <t>MOB-TABLE-015</t>
        </is>
      </c>
      <c r="B26" s="3" t="inlineStr">
        <is>
          <t>Quản lý bàn</t>
        </is>
      </c>
      <c r="C26" s="3" t="inlineStr">
        <is>
          <t>Mobile app &gt; Quản lý bàn</t>
        </is>
      </c>
      <c r="D26" s="3" t="inlineStr">
        <is>
          <t>Refresh sau khi backend reset dữ liệu</t>
        </is>
      </c>
      <c r="E26" s="3" t="inlineStr">
        <is>
          <t>Refresh after backend data reset</t>
        </is>
      </c>
      <c r="F26" s="3" t="inlineStr">
        <is>
          <t>Backend đang chạy cổng 3000; cài APK hoặc chạy app trên emulator/điện thoại; đăng nhập đúng vai trò.</t>
        </is>
      </c>
      <c r="G26" s="3" t="inlineStr">
        <is>
          <t>1. Mở vị trí test: Mobile app &gt; Quản lý bàn.
2. Thực hiện tình huống: Refresh sau khi backend reset dữ liệu.
3. Kiểm tra giao diện, dữ liệu lưu trong hệ thống và phản hồi lỗi/thành công.</t>
        </is>
      </c>
      <c r="H26" s="3" t="inlineStr">
        <is>
          <t>1. Open test location: Mobile app &gt; Quản lý bàn.
2. Execute scenario: Refresh after backend data reset.
3. Verify UI, saved data, and success/error response.</t>
        </is>
      </c>
      <c r="I26" s="3" t="inlineStr">
        <is>
          <t>/reset</t>
        </is>
      </c>
      <c r="J26" s="3" t="inlineStr">
        <is>
          <t>Grid tải lại đúng 6 bàn seed ban đầu.</t>
        </is>
      </c>
      <c r="K26" s="3" t="inlineStr">
        <is>
          <t>Grid reloads the six seed tables correctly.</t>
        </is>
      </c>
      <c r="L26" s="9" t="inlineStr"/>
      <c r="M26" s="10" t="inlineStr">
        <is>
          <t>Pending / Chưa chạy</t>
        </is>
      </c>
      <c r="N26" s="3" t="inlineStr">
        <is>
          <t>Chưa chạy / Not executed</t>
        </is>
      </c>
      <c r="O26" s="3" t="inlineStr"/>
    </row>
    <row r="27" ht="96" customHeight="1">
      <c r="A27" s="9" t="inlineStr">
        <is>
          <t>MOB-TABLE-016</t>
        </is>
      </c>
      <c r="B27" s="3" t="inlineStr">
        <is>
          <t>Quản lý bàn</t>
        </is>
      </c>
      <c r="C27" s="3" t="inlineStr">
        <is>
          <t>Mobile app &gt; Quản lý bàn</t>
        </is>
      </c>
      <c r="D27" s="3" t="inlineStr">
        <is>
          <t>Bàn VIP hiển thị khu vực riêng và số ghế lớn</t>
        </is>
      </c>
      <c r="E27" s="3" t="inlineStr">
        <is>
          <t>VIP table displays area and larger seat count</t>
        </is>
      </c>
      <c r="F27" s="3" t="inlineStr">
        <is>
          <t>Backend đang chạy cổng 3000; cài APK hoặc chạy app trên emulator/điện thoại; đăng nhập đúng vai trò.</t>
        </is>
      </c>
      <c r="G27" s="3" t="inlineStr">
        <is>
          <t>1. Mở vị trí test: Mobile app &gt; Quản lý bàn.
2. Thực hiện tình huống: Bàn VIP hiển thị khu vực riêng và số ghế lớn.
3. Kiểm tra giao diện, dữ liệu lưu trong hệ thống và phản hồi lỗi/thành công.</t>
        </is>
      </c>
      <c r="H27" s="3" t="inlineStr">
        <is>
          <t>1. Open test location: Mobile app &gt; Quản lý bàn.
2. Execute scenario: VIP table displays area and larger seat count.
3. Verify UI, saved data, and success/error response.</t>
        </is>
      </c>
      <c r="I27" s="3" t="inlineStr"/>
      <c r="J27" s="3" t="inlineStr">
        <is>
          <t>Bàn VIP có tên/khu vực/số ghế đúng và không tràn text.</t>
        </is>
      </c>
      <c r="K27" s="3" t="inlineStr">
        <is>
          <t>VIP table shows correct data without text overflow.</t>
        </is>
      </c>
      <c r="L27" s="9" t="inlineStr"/>
      <c r="M27" s="10" t="inlineStr">
        <is>
          <t>Pending / Chưa chạy</t>
        </is>
      </c>
      <c r="N27" s="3" t="inlineStr">
        <is>
          <t>Chưa chạy / Not executed</t>
        </is>
      </c>
      <c r="O27" s="3" t="inlineStr"/>
    </row>
  </sheetData>
  <autoFilter ref="A9:O27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2" customWidth="1" min="3" max="3"/>
    <col width="28" customWidth="1" min="4" max="4"/>
    <col width="16" customWidth="1" min="5" max="5"/>
    <col width="14" customWidth="1" min="6" max="6"/>
    <col width="28" customWidth="1" min="7" max="7"/>
  </cols>
  <sheetData>
    <row r="1">
      <c r="A1" s="6" t="inlineStr">
        <is>
          <t>TEST REPORT</t>
        </is>
      </c>
    </row>
    <row r="3">
      <c r="A3" s="7" t="inlineStr">
        <is>
          <t>System Name</t>
        </is>
      </c>
      <c r="B3" s="3" t="inlineStr">
        <is>
          <t>Quản Lý Nhà Hàng / Restaurant Management System</t>
        </is>
      </c>
    </row>
    <row r="4">
      <c r="A4" s="7" t="inlineStr">
        <is>
          <t>Module</t>
        </is>
      </c>
      <c r="B4" s="3" t="inlineStr">
        <is>
          <t>Mobile - Quản lý bàn / Mobile - Table Management</t>
        </is>
      </c>
    </row>
    <row r="5">
      <c r="A5" s="7" t="inlineStr">
        <is>
          <t>Module Code</t>
        </is>
      </c>
      <c r="B5" s="3" t="inlineStr">
        <is>
          <t>MOB-TABLE</t>
        </is>
      </c>
    </row>
    <row r="6">
      <c r="A6" s="7" t="inlineStr">
        <is>
          <t>Issue date</t>
        </is>
      </c>
      <c r="B6" s="3" t="inlineStr">
        <is>
          <t>21/05/2026</t>
        </is>
      </c>
    </row>
    <row r="7">
      <c r="A7" s="7" t="inlineStr">
        <is>
          <t>Total test cases</t>
        </is>
      </c>
      <c r="B7" s="3" t="n">
        <v>16</v>
      </c>
    </row>
    <row r="10">
      <c r="A10" s="8" t="inlineStr">
        <is>
          <t>Result</t>
        </is>
      </c>
      <c r="B10" s="8" t="inlineStr">
        <is>
          <t>Count</t>
        </is>
      </c>
      <c r="C10" s="8" t="inlineStr">
        <is>
          <t>Meaning / Ý nghĩa</t>
        </is>
      </c>
      <c r="D10" s="8" t="inlineStr">
        <is>
          <t>Scope</t>
        </is>
      </c>
      <c r="E10" s="8" t="inlineStr">
        <is>
          <t>Owner</t>
        </is>
      </c>
      <c r="F10" s="8" t="inlineStr">
        <is>
          <t>Date</t>
        </is>
      </c>
      <c r="G10" s="8" t="inlineStr">
        <is>
          <t>Note</t>
        </is>
      </c>
    </row>
    <row r="11">
      <c r="A11" s="11" t="inlineStr">
        <is>
          <t>Pass / Đạt</t>
        </is>
      </c>
      <c r="B11" s="3">
        <f>COUNTIF('Test Cases'!M12:M500,"Pass*")</f>
        <v/>
      </c>
      <c r="C11" s="3" t="inlineStr">
        <is>
          <t>Executed and matched expected result / Đã chạy và đúng mong đợi</t>
        </is>
      </c>
      <c r="D11" s="3" t="inlineStr">
        <is>
          <t>Mobile - Quản lý bàn</t>
        </is>
      </c>
      <c r="E11" s="3" t="inlineStr">
        <is>
          <t>QA / Dev</t>
        </is>
      </c>
      <c r="F11" s="3" t="inlineStr">
        <is>
          <t>21/05/2026</t>
        </is>
      </c>
      <c r="G11" s="3" t="inlineStr"/>
    </row>
    <row r="12">
      <c r="A12" s="12" t="inlineStr">
        <is>
          <t>Fail / Không đạt</t>
        </is>
      </c>
      <c r="B12" s="3">
        <f>COUNTIF('Test Cases'!M12:M500,"Fail*")</f>
        <v/>
      </c>
      <c r="C12" s="3" t="inlineStr">
        <is>
          <t>Executed but did not match expected result / Đã chạy nhưng sai mong đợi</t>
        </is>
      </c>
      <c r="D12" s="3" t="inlineStr">
        <is>
          <t>Mobile - Quản lý bàn</t>
        </is>
      </c>
      <c r="E12" s="3" t="inlineStr">
        <is>
          <t>QA / Dev</t>
        </is>
      </c>
      <c r="F12" s="3" t="inlineStr">
        <is>
          <t>21/05/2026</t>
        </is>
      </c>
      <c r="G12" s="3" t="inlineStr"/>
    </row>
    <row r="13">
      <c r="A13" s="13" t="inlineStr">
        <is>
          <t>Pending / Chưa chạy</t>
        </is>
      </c>
      <c r="B13" s="3">
        <f>COUNTIF('Test Cases'!M12:M500,"Pending*")</f>
        <v/>
      </c>
      <c r="C13" s="3" t="inlineStr">
        <is>
          <t>Written but not yet executed manually / Đã viết, chưa chạy thủ công</t>
        </is>
      </c>
      <c r="D13" s="3" t="inlineStr">
        <is>
          <t>Mobile - Quản lý bàn</t>
        </is>
      </c>
      <c r="E13" s="3" t="inlineStr">
        <is>
          <t>QA / Dev</t>
        </is>
      </c>
      <c r="F13" s="3" t="inlineStr">
        <is>
          <t>21/05/2026</t>
        </is>
      </c>
      <c r="G13" s="3" t="inlineStr"/>
    </row>
    <row r="14">
      <c r="A14" s="3" t="inlineStr">
        <is>
          <t>Number of test cases</t>
        </is>
      </c>
      <c r="B14" s="3">
        <f>COUNTA('Test Cases'!A12:A500)</f>
        <v/>
      </c>
      <c r="C14" s="3" t="inlineStr">
        <is>
          <t>Total case rows / Tổng số dòng case</t>
        </is>
      </c>
      <c r="D14" s="3" t="inlineStr">
        <is>
          <t>Mobile - Quản lý bàn</t>
        </is>
      </c>
      <c r="E14" s="3" t="inlineStr">
        <is>
          <t>QA / Dev</t>
        </is>
      </c>
      <c r="F14" s="3" t="inlineStr">
        <is>
          <t>21/05/2026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2026-05-21T11:33:23Z</dcterms:created>
  <dcterms:modified xmlns:dcterms="http://purl.org/dc/terms/" xmlns:xsi="http://www.w3.org/2001/XMLSchema-instance" xsi:type="dcterms:W3CDTF">2026-05-21T11:33:23Z</dcterms:modified>
</cp:coreProperties>
</file>