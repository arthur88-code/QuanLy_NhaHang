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Test Report" sheetId="3" state="visible" r:id="rId3"/>
  </sheets>
  <definedNames>
    <definedName name="_xlnm._FilterDatabase" localSheetId="1" hidden="1">'Test Cases'!$A$9:$O$23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22"/>
    </font>
    <font>
      <b val="1"/>
    </font>
    <font>
      <b val="1"/>
      <color rgb="00FFFFFF"/>
    </font>
    <font>
      <b val="1"/>
      <color rgb="00FFFFFF"/>
      <sz val="18"/>
    </font>
  </fonts>
  <fills count="8">
    <fill>
      <patternFill/>
    </fill>
    <fill>
      <patternFill patternType="gray125"/>
    </fill>
    <fill>
      <patternFill patternType="solid">
        <fgColor rgb="00111827"/>
      </patternFill>
    </fill>
    <fill>
      <patternFill patternType="solid">
        <fgColor rgb="00EAF4FF"/>
      </patternFill>
    </fill>
    <fill>
      <patternFill patternType="solid">
        <fgColor rgb="00D9EAF7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3" fillId="2" borderId="0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18" customWidth="1" min="3" max="3"/>
    <col width="44" customWidth="1" min="4" max="4"/>
    <col width="18" customWidth="1" min="5" max="5"/>
    <col width="16" customWidth="1" min="6" max="6"/>
    <col width="38" customWidth="1" min="7" max="7"/>
    <col width="14" customWidth="1" min="8" max="8"/>
  </cols>
  <sheetData>
    <row r="1">
      <c r="A1" s="1" t="inlineStr">
        <is>
          <t>TEST CASE</t>
        </is>
      </c>
    </row>
    <row r="2"/>
    <row r="4">
      <c r="A4" s="2" t="inlineStr">
        <is>
          <t>Project Name</t>
        </is>
      </c>
      <c r="B4" s="3" t="inlineStr">
        <is>
          <t>Quản Lý Nhà Hàng / Restaurant Management System</t>
        </is>
      </c>
    </row>
    <row r="5">
      <c r="A5" s="2" t="inlineStr">
        <is>
          <t>Project Code</t>
        </is>
      </c>
      <c r="B5" s="3" t="inlineStr">
        <is>
          <t>RMS-FLUTTER-NODE</t>
        </is>
      </c>
    </row>
    <row r="6">
      <c r="A6" s="2" t="inlineStr">
        <is>
          <t>Module</t>
        </is>
      </c>
      <c r="B6" s="3" t="inlineStr">
        <is>
          <t>Mobile - Thống kê / Mobile - Statistics</t>
        </is>
      </c>
    </row>
    <row r="7">
      <c r="A7" s="2" t="inlineStr">
        <is>
          <t>Module Code</t>
        </is>
      </c>
      <c r="B7" s="3" t="inlineStr">
        <is>
          <t>MOB-STATS</t>
        </is>
      </c>
    </row>
    <row r="8">
      <c r="A8" s="2" t="inlineStr">
        <is>
          <t>Version</t>
        </is>
      </c>
      <c r="B8" s="3" t="inlineStr">
        <is>
          <t>1.0</t>
        </is>
      </c>
    </row>
    <row r="9">
      <c r="A9" s="2" t="inlineStr">
        <is>
          <t>Issue date</t>
        </is>
      </c>
      <c r="B9" s="3" t="inlineStr">
        <is>
          <t>21/05/2026</t>
        </is>
      </c>
    </row>
    <row r="10">
      <c r="A10" s="2" t="inlineStr">
        <is>
          <t>Total test cases</t>
        </is>
      </c>
      <c r="B10" s="3" t="n">
        <v>12</v>
      </c>
    </row>
    <row r="11">
      <c r="A11" s="2" t="inlineStr">
        <is>
          <t>Language</t>
        </is>
      </c>
      <c r="B11" s="3" t="inlineStr">
        <is>
          <t>Tiếng Việt + English</t>
        </is>
      </c>
    </row>
    <row r="12">
      <c r="A12" s="2" t="inlineStr">
        <is>
          <t>Result policy</t>
        </is>
      </c>
      <c r="B12" s="3" t="inlineStr">
        <is>
          <t>Pass/Fail only for executed smoke checks; Pending means written but not executed manually.</t>
        </is>
      </c>
    </row>
    <row r="14">
      <c r="A14" s="4" t="inlineStr">
        <is>
          <t>Record of change / Lịch sử thay đổi</t>
        </is>
      </c>
    </row>
    <row r="15">
      <c r="A15" s="5" t="inlineStr">
        <is>
          <t>Version</t>
        </is>
      </c>
      <c r="B15" s="5" t="inlineStr">
        <is>
          <t>Date</t>
        </is>
      </c>
      <c r="C15" s="5" t="inlineStr">
        <is>
          <t>Author</t>
        </is>
      </c>
      <c r="D15" s="5" t="inlineStr">
        <is>
          <t>Change description</t>
        </is>
      </c>
      <c r="E15" s="5" t="inlineStr">
        <is>
          <t>Reviewer</t>
        </is>
      </c>
      <c r="F15" s="5" t="inlineStr">
        <is>
          <t>Status</t>
        </is>
      </c>
      <c r="G15" s="5" t="inlineStr">
        <is>
          <t>Note</t>
        </is>
      </c>
      <c r="H15" s="5" t="inlineStr"/>
    </row>
    <row r="16">
      <c r="A16" s="3" t="inlineStr">
        <is>
          <t>1.0</t>
        </is>
      </c>
      <c r="B16" s="3" t="inlineStr">
        <is>
          <t>21/05/2026</t>
        </is>
      </c>
      <c r="C16" s="3" t="inlineStr">
        <is>
          <t>Codex</t>
        </is>
      </c>
      <c r="D16" s="3" t="inlineStr">
        <is>
          <t>Create bilingual test cases for Mobile - Thống kê</t>
        </is>
      </c>
      <c r="E16" s="3" t="inlineStr"/>
      <c r="F16" s="3" t="inlineStr">
        <is>
          <t>Draft</t>
        </is>
      </c>
      <c r="G16" s="3" t="inlineStr">
        <is>
          <t>Kiểm tra thống kê theo ngày, tháng, năm và liên kết hóa đơn</t>
        </is>
      </c>
      <c r="H16" s="3" t="inlineStr"/>
    </row>
  </sheetData>
  <mergeCells count="2">
    <mergeCell ref="A1:H2"/>
    <mergeCell ref="A14:H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8" customWidth="1" min="3" max="3"/>
    <col width="34" customWidth="1" min="4" max="4"/>
    <col width="34" customWidth="1" min="5" max="5"/>
    <col width="34" customWidth="1" min="6" max="6"/>
    <col width="44" customWidth="1" min="7" max="7"/>
    <col width="44" customWidth="1" min="8" max="8"/>
    <col width="28" customWidth="1" min="9" max="9"/>
    <col width="38" customWidth="1" min="10" max="10"/>
    <col width="38" customWidth="1" min="11" max="11"/>
    <col width="14" customWidth="1" min="12" max="12"/>
    <col width="18" customWidth="1" min="13" max="13"/>
    <col width="38" customWidth="1" min="14" max="14"/>
    <col width="28" customWidth="1" min="15" max="15"/>
  </cols>
  <sheetData>
    <row r="1">
      <c r="A1" s="6" t="inlineStr">
        <is>
          <t>TEST CASE</t>
        </is>
      </c>
    </row>
    <row r="3">
      <c r="A3" s="7" t="inlineStr">
        <is>
          <t>System Name:</t>
        </is>
      </c>
      <c r="B3" s="3" t="inlineStr">
        <is>
          <t>Quản Lý Nhà Hàng / Restaurant Management System</t>
        </is>
      </c>
    </row>
    <row r="4">
      <c r="A4" s="7" t="inlineStr">
        <is>
          <t>Module Code:</t>
        </is>
      </c>
      <c r="B4" s="3" t="inlineStr">
        <is>
          <t>MOB-STATS</t>
        </is>
      </c>
    </row>
    <row r="5">
      <c r="A5" s="7" t="inlineStr">
        <is>
          <t>Test requirement:</t>
        </is>
      </c>
      <c r="B5" s="3" t="inlineStr">
        <is>
          <t>Kiểm tra thống kê theo ngày, tháng, năm và liên kết hóa đơn</t>
        </is>
      </c>
    </row>
    <row r="6">
      <c r="A6" s="7" t="inlineStr">
        <is>
          <t>Pass</t>
        </is>
      </c>
      <c r="B6" s="3">
        <f>COUNTIF(M12:M500,"Pass*")</f>
        <v/>
      </c>
      <c r="C6" s="7" t="inlineStr">
        <is>
          <t>Pending</t>
        </is>
      </c>
      <c r="D6" s="3">
        <f>COUNTIF(M12:M500,"Pending*")</f>
        <v/>
      </c>
    </row>
    <row r="7">
      <c r="A7" s="7" t="inlineStr">
        <is>
          <t>Fail</t>
        </is>
      </c>
      <c r="B7" s="3">
        <f>COUNTIF(M12:M500,"Fail*")</f>
        <v/>
      </c>
      <c r="C7" s="7" t="inlineStr">
        <is>
          <t>Number of test cases:</t>
        </is>
      </c>
      <c r="D7" s="3">
        <f>COUNTA(A12:A500)</f>
        <v/>
      </c>
    </row>
    <row r="9">
      <c r="A9" s="8" t="inlineStr">
        <is>
          <t>ID</t>
        </is>
      </c>
      <c r="B9" s="8" t="inlineStr">
        <is>
          <t>Function / Chức năng</t>
        </is>
      </c>
      <c r="C9" s="8" t="inlineStr">
        <is>
          <t>Test location / Vị trí test</t>
        </is>
      </c>
      <c r="D9" s="8" t="inlineStr">
        <is>
          <t>Test Case Description (VI)</t>
        </is>
      </c>
      <c r="E9" s="8" t="inlineStr">
        <is>
          <t>Test Case Description (EN)</t>
        </is>
      </c>
      <c r="F9" s="8" t="inlineStr">
        <is>
          <t>Preconditions / Tiền điều kiện</t>
        </is>
      </c>
      <c r="G9" s="8" t="inlineStr">
        <is>
          <t>Test Case Procedure (VI)</t>
        </is>
      </c>
      <c r="H9" s="8" t="inlineStr">
        <is>
          <t>Test Case Procedure (EN)</t>
        </is>
      </c>
      <c r="I9" s="8" t="inlineStr">
        <is>
          <t>Test Data / Dữ liệu</t>
        </is>
      </c>
      <c r="J9" s="8" t="inlineStr">
        <is>
          <t>Expected Output (VI)</t>
        </is>
      </c>
      <c r="K9" s="8" t="inlineStr">
        <is>
          <t>Expected Output (EN)</t>
        </is>
      </c>
      <c r="L9" s="8" t="inlineStr">
        <is>
          <t>Test date</t>
        </is>
      </c>
      <c r="M9" s="8" t="inlineStr">
        <is>
          <t>Result / Kết quả</t>
        </is>
      </c>
      <c r="N9" s="8" t="inlineStr">
        <is>
          <t>Actual Result / Kết quả thực tế</t>
        </is>
      </c>
      <c r="O9" s="8" t="inlineStr">
        <is>
          <t>Note / Ghi chú</t>
        </is>
      </c>
    </row>
    <row r="12" ht="96" customHeight="1">
      <c r="A12" s="9" t="inlineStr">
        <is>
          <t>MOB-STATS-001</t>
        </is>
      </c>
      <c r="B12" s="3" t="inlineStr">
        <is>
          <t>Thống kê</t>
        </is>
      </c>
      <c r="C12" s="3" t="inlineStr">
        <is>
          <t>Mobile app &gt; Thống kê</t>
        </is>
      </c>
      <c r="D12" s="3" t="inlineStr">
        <is>
          <t>Mở thống kê ngày hiện tại</t>
        </is>
      </c>
      <c r="E12" s="3" t="inlineStr">
        <is>
          <t>Open current-day statistics</t>
        </is>
      </c>
      <c r="F12" s="3" t="inlineStr">
        <is>
          <t>Backend đang chạy cổng 3000; cài APK hoặc chạy app trên emulator/điện thoại; đăng nhập đúng vai trò.</t>
        </is>
      </c>
      <c r="G12" s="3" t="inlineStr">
        <is>
          <t>1. Mở vị trí test: Mobile app &gt; Thống kê.
2. Thực hiện tình huống: Mở thống kê ngày hiện tại.
3. Kiểm tra giao diện, dữ liệu lưu trong hệ thống và phản hồi lỗi/thành công.</t>
        </is>
      </c>
      <c r="H12" s="3" t="inlineStr">
        <is>
          <t>1. Open test location: Mobile app &gt; Thống kê.
2. Execute scenario: Open current-day statistics.
3. Verify UI, saved data, and success/error response.</t>
        </is>
      </c>
      <c r="I12" s="3" t="inlineStr"/>
      <c r="J12" s="3" t="inlineStr">
        <is>
          <t>Doanh thu, số hóa đơn và công nợ phản ánh dữ liệu trong ngày.</t>
        </is>
      </c>
      <c r="K12" s="3" t="inlineStr">
        <is>
          <t>Revenue, invoices, and debts reflect current-day data.</t>
        </is>
      </c>
      <c r="L12" s="9" t="inlineStr"/>
      <c r="M12" s="10" t="inlineStr">
        <is>
          <t>Pending / Chưa chạy</t>
        </is>
      </c>
      <c r="N12" s="3" t="inlineStr">
        <is>
          <t>Chưa chạy / Not executed</t>
        </is>
      </c>
      <c r="O12" s="3" t="inlineStr"/>
    </row>
    <row r="13" ht="96" customHeight="1">
      <c r="A13" s="9" t="inlineStr">
        <is>
          <t>MOB-STATS-002</t>
        </is>
      </c>
      <c r="B13" s="3" t="inlineStr">
        <is>
          <t>Thống kê</t>
        </is>
      </c>
      <c r="C13" s="3" t="inlineStr">
        <is>
          <t>Mobile app &gt; Thống kê</t>
        </is>
      </c>
      <c r="D13" s="3" t="inlineStr">
        <is>
          <t>Chọn thống kê theo tháng</t>
        </is>
      </c>
      <c r="E13" s="3" t="inlineStr">
        <is>
          <t>Select monthly statistics</t>
        </is>
      </c>
      <c r="F13" s="3" t="inlineStr">
        <is>
          <t>Backend đang chạy cổng 3000; cài APK hoặc chạy app trên emulator/điện thoại; đăng nhập đúng vai trò.</t>
        </is>
      </c>
      <c r="G13" s="3" t="inlineStr">
        <is>
          <t>1. Mở vị trí test: Mobile app &gt; Thống kê.
2. Thực hiện tình huống: Chọn thống kê theo tháng.
3. Kiểm tra giao diện, dữ liệu lưu trong hệ thống và phản hồi lỗi/thành công.</t>
        </is>
      </c>
      <c r="H13" s="3" t="inlineStr">
        <is>
          <t>1. Open test location: Mobile app &gt; Thống kê.
2. Execute scenario: Select monthly statistics.
3. Verify UI, saved data, and success/error response.</t>
        </is>
      </c>
      <c r="I13" s="3" t="inlineStr"/>
      <c r="J13" s="3" t="inlineStr">
        <is>
          <t>Số liệu tháng bao gồm các hóa đơn paid trong tháng.</t>
        </is>
      </c>
      <c r="K13" s="3" t="inlineStr">
        <is>
          <t>Monthly metrics include paid invoices in the month.</t>
        </is>
      </c>
      <c r="L13" s="9" t="inlineStr"/>
      <c r="M13" s="10" t="inlineStr">
        <is>
          <t>Pending / Chưa chạy</t>
        </is>
      </c>
      <c r="N13" s="3" t="inlineStr">
        <is>
          <t>Chưa chạy / Not executed</t>
        </is>
      </c>
      <c r="O13" s="3" t="inlineStr"/>
    </row>
    <row r="14" ht="96" customHeight="1">
      <c r="A14" s="9" t="inlineStr">
        <is>
          <t>MOB-STATS-003</t>
        </is>
      </c>
      <c r="B14" s="3" t="inlineStr">
        <is>
          <t>Thống kê</t>
        </is>
      </c>
      <c r="C14" s="3" t="inlineStr">
        <is>
          <t>Mobile app &gt; Thống kê</t>
        </is>
      </c>
      <c r="D14" s="3" t="inlineStr">
        <is>
          <t>Chọn thống kê theo năm</t>
        </is>
      </c>
      <c r="E14" s="3" t="inlineStr">
        <is>
          <t>Select yearly statistics</t>
        </is>
      </c>
      <c r="F14" s="3" t="inlineStr">
        <is>
          <t>Backend đang chạy cổng 3000; cài APK hoặc chạy app trên emulator/điện thoại; đăng nhập đúng vai trò.</t>
        </is>
      </c>
      <c r="G14" s="3" t="inlineStr">
        <is>
          <t>1. Mở vị trí test: Mobile app &gt; Thống kê.
2. Thực hiện tình huống: Chọn thống kê theo năm.
3. Kiểm tra giao diện, dữ liệu lưu trong hệ thống và phản hồi lỗi/thành công.</t>
        </is>
      </c>
      <c r="H14" s="3" t="inlineStr">
        <is>
          <t>1. Open test location: Mobile app &gt; Thống kê.
2. Execute scenario: Select yearly statistics.
3. Verify UI, saved data, and success/error response.</t>
        </is>
      </c>
      <c r="I14" s="3" t="inlineStr"/>
      <c r="J14" s="3" t="inlineStr">
        <is>
          <t>Số liệu năm tổng hợp đúng theo tháng/quý nếu có.</t>
        </is>
      </c>
      <c r="K14" s="3" t="inlineStr">
        <is>
          <t>Yearly metrics aggregate correctly by month/quarter if available.</t>
        </is>
      </c>
      <c r="L14" s="9" t="inlineStr"/>
      <c r="M14" s="10" t="inlineStr">
        <is>
          <t>Pending / Chưa chạy</t>
        </is>
      </c>
      <c r="N14" s="3" t="inlineStr">
        <is>
          <t>Chưa chạy / Not executed</t>
        </is>
      </c>
      <c r="O14" s="3" t="inlineStr"/>
    </row>
    <row r="15" ht="96" customHeight="1">
      <c r="A15" s="9" t="inlineStr">
        <is>
          <t>MOB-STATS-004</t>
        </is>
      </c>
      <c r="B15" s="3" t="inlineStr">
        <is>
          <t>Thống kê</t>
        </is>
      </c>
      <c r="C15" s="3" t="inlineStr">
        <is>
          <t>Mobile app &gt; Thống kê</t>
        </is>
      </c>
      <c r="D15" s="3" t="inlineStr">
        <is>
          <t>Không tính hóa đơn open vào doanh thu</t>
        </is>
      </c>
      <c r="E15" s="3" t="inlineStr">
        <is>
          <t>Open invoices are excluded from revenue</t>
        </is>
      </c>
      <c r="F15" s="3" t="inlineStr">
        <is>
          <t>Backend đang chạy cổng 3000; cài APK hoặc chạy app trên emulator/điện thoại; đăng nhập đúng vai trò.</t>
        </is>
      </c>
      <c r="G15" s="3" t="inlineStr">
        <is>
          <t>1. Mở vị trí test: Mobile app &gt; Thống kê.
2. Thực hiện tình huống: Không tính hóa đơn open vào doanh thu.
3. Kiểm tra giao diện, dữ liệu lưu trong hệ thống và phản hồi lỗi/thành công.</t>
        </is>
      </c>
      <c r="H15" s="3" t="inlineStr">
        <is>
          <t>1. Open test location: Mobile app &gt; Thống kê.
2. Execute scenario: Open invoices are excluded from revenue.
3. Verify UI, saved data, and success/error response.</t>
        </is>
      </c>
      <c r="I15" s="3" t="inlineStr"/>
      <c r="J15" s="3" t="inlineStr">
        <is>
          <t>Doanh thu chỉ tính hóa đơn đã trả.</t>
        </is>
      </c>
      <c r="K15" s="3" t="inlineStr">
        <is>
          <t>Revenue only includes paid invoices.</t>
        </is>
      </c>
      <c r="L15" s="9" t="inlineStr"/>
      <c r="M15" s="10" t="inlineStr">
        <is>
          <t>Pending / Chưa chạy</t>
        </is>
      </c>
      <c r="N15" s="3" t="inlineStr">
        <is>
          <t>Chưa chạy / Not executed</t>
        </is>
      </c>
      <c r="O15" s="3" t="inlineStr"/>
    </row>
    <row r="16" ht="96" customHeight="1">
      <c r="A16" s="9" t="inlineStr">
        <is>
          <t>MOB-STATS-005</t>
        </is>
      </c>
      <c r="B16" s="3" t="inlineStr">
        <is>
          <t>Thống kê</t>
        </is>
      </c>
      <c r="C16" s="3" t="inlineStr">
        <is>
          <t>Mobile app &gt; Thống kê</t>
        </is>
      </c>
      <c r="D16" s="3" t="inlineStr">
        <is>
          <t>Ghi nợ không tính như doanh thu đã thu</t>
        </is>
      </c>
      <c r="E16" s="3" t="inlineStr">
        <is>
          <t>Debt is not counted as collected revenue</t>
        </is>
      </c>
      <c r="F16" s="3" t="inlineStr">
        <is>
          <t>Backend đang chạy cổng 3000; cài APK hoặc chạy app trên emulator/điện thoại; đăng nhập đúng vai trò.</t>
        </is>
      </c>
      <c r="G16" s="3" t="inlineStr">
        <is>
          <t>1. Mở vị trí test: Mobile app &gt; Thống kê.
2. Thực hiện tình huống: Ghi nợ không tính như doanh thu đã thu.
3. Kiểm tra giao diện, dữ liệu lưu trong hệ thống và phản hồi lỗi/thành công.</t>
        </is>
      </c>
      <c r="H16" s="3" t="inlineStr">
        <is>
          <t>1. Open test location: Mobile app &gt; Thống kê.
2. Execute scenario: Debt is not counted as collected revenue.
3. Verify UI, saved data, and success/error response.</t>
        </is>
      </c>
      <c r="I16" s="3" t="inlineStr"/>
      <c r="J16" s="3" t="inlineStr">
        <is>
          <t>Công nợ được hiển thị riêng với doanh thu.</t>
        </is>
      </c>
      <c r="K16" s="3" t="inlineStr">
        <is>
          <t>Debts are reported separately from collected revenue.</t>
        </is>
      </c>
      <c r="L16" s="9" t="inlineStr"/>
      <c r="M16" s="10" t="inlineStr">
        <is>
          <t>Pending / Chưa chạy</t>
        </is>
      </c>
      <c r="N16" s="3" t="inlineStr">
        <is>
          <t>Chưa chạy / Not executed</t>
        </is>
      </c>
      <c r="O16" s="3" t="inlineStr"/>
    </row>
    <row r="17" ht="96" customHeight="1">
      <c r="A17" s="9" t="inlineStr">
        <is>
          <t>MOB-STATS-006</t>
        </is>
      </c>
      <c r="B17" s="3" t="inlineStr">
        <is>
          <t>Thống kê</t>
        </is>
      </c>
      <c r="C17" s="3" t="inlineStr">
        <is>
          <t>Mobile app &gt; Thống kê</t>
        </is>
      </c>
      <c r="D17" s="3" t="inlineStr">
        <is>
          <t>Thanh toán hóa đơn rồi refresh thống kê</t>
        </is>
      </c>
      <c r="E17" s="3" t="inlineStr">
        <is>
          <t>Pay invoice then refresh statistics</t>
        </is>
      </c>
      <c r="F17" s="3" t="inlineStr">
        <is>
          <t>Backend đang chạy cổng 3000; cài APK hoặc chạy app trên emulator/điện thoại; đăng nhập đúng vai trò.</t>
        </is>
      </c>
      <c r="G17" s="3" t="inlineStr">
        <is>
          <t>1. Mở vị trí test: Mobile app &gt; Thống kê.
2. Thực hiện tình huống: Thanh toán hóa đơn rồi refresh thống kê.
3. Kiểm tra giao diện, dữ liệu lưu trong hệ thống và phản hồi lỗi/thành công.</t>
        </is>
      </c>
      <c r="H17" s="3" t="inlineStr">
        <is>
          <t>1. Open test location: Mobile app &gt; Thống kê.
2. Execute scenario: Pay invoice then refresh statistics.
3. Verify UI, saved data, and success/error response.</t>
        </is>
      </c>
      <c r="I17" s="3" t="inlineStr"/>
      <c r="J17" s="3" t="inlineStr">
        <is>
          <t>Doanh thu và số hóa đơn tăng đúng một lần.</t>
        </is>
      </c>
      <c r="K17" s="3" t="inlineStr">
        <is>
          <t>Revenue and invoice count increase exactly once.</t>
        </is>
      </c>
      <c r="L17" s="9" t="inlineStr"/>
      <c r="M17" s="10" t="inlineStr">
        <is>
          <t>Pending / Chưa chạy</t>
        </is>
      </c>
      <c r="N17" s="3" t="inlineStr">
        <is>
          <t>Chưa chạy / Not executed</t>
        </is>
      </c>
      <c r="O17" s="3" t="inlineStr"/>
    </row>
    <row r="18" ht="96" customHeight="1">
      <c r="A18" s="9" t="inlineStr">
        <is>
          <t>MOB-STATS-007</t>
        </is>
      </c>
      <c r="B18" s="3" t="inlineStr">
        <is>
          <t>Thống kê</t>
        </is>
      </c>
      <c r="C18" s="3" t="inlineStr">
        <is>
          <t>Mobile app &gt; Thống kê</t>
        </is>
      </c>
      <c r="D18" s="3" t="inlineStr">
        <is>
          <t>Reset dữ liệu demo rồi mở thống kê</t>
        </is>
      </c>
      <c r="E18" s="3" t="inlineStr">
        <is>
          <t>Reset demo data then open statistics</t>
        </is>
      </c>
      <c r="F18" s="3" t="inlineStr">
        <is>
          <t>Backend đang chạy cổng 3000; cài APK hoặc chạy app trên emulator/điện thoại; đăng nhập đúng vai trò.</t>
        </is>
      </c>
      <c r="G18" s="3" t="inlineStr">
        <is>
          <t>1. Mở vị trí test: Mobile app &gt; Thống kê.
2. Thực hiện tình huống: Reset dữ liệu demo rồi mở thống kê.
3. Kiểm tra giao diện, dữ liệu lưu trong hệ thống và phản hồi lỗi/thành công.</t>
        </is>
      </c>
      <c r="H18" s="3" t="inlineStr">
        <is>
          <t>1. Open test location: Mobile app &gt; Thống kê.
2. Execute scenario: Reset demo data then open statistics.
3. Verify UI, saved data, and success/error response.</t>
        </is>
      </c>
      <c r="I18" s="3" t="inlineStr"/>
      <c r="J18" s="3" t="inlineStr">
        <is>
          <t>Thống kê về 0 hoặc seed mặc định rõ ràng.</t>
        </is>
      </c>
      <c r="K18" s="3" t="inlineStr">
        <is>
          <t>Statistics return to zero or known seed state.</t>
        </is>
      </c>
      <c r="L18" s="9" t="inlineStr"/>
      <c r="M18" s="10" t="inlineStr">
        <is>
          <t>Pending / Chưa chạy</t>
        </is>
      </c>
      <c r="N18" s="3" t="inlineStr">
        <is>
          <t>Chưa chạy / Not executed</t>
        </is>
      </c>
      <c r="O18" s="3" t="inlineStr"/>
    </row>
    <row r="19" ht="96" customHeight="1">
      <c r="A19" s="9" t="inlineStr">
        <is>
          <t>MOB-STATS-008</t>
        </is>
      </c>
      <c r="B19" s="3" t="inlineStr">
        <is>
          <t>Thống kê</t>
        </is>
      </c>
      <c r="C19" s="3" t="inlineStr">
        <is>
          <t>Mobile app &gt; Thống kê</t>
        </is>
      </c>
      <c r="D19" s="3" t="inlineStr">
        <is>
          <t>Ngày không có giao dịch</t>
        </is>
      </c>
      <c r="E19" s="3" t="inlineStr">
        <is>
          <t>Date range with no transactions</t>
        </is>
      </c>
      <c r="F19" s="3" t="inlineStr">
        <is>
          <t>Backend đang chạy cổng 3000; cài APK hoặc chạy app trên emulator/điện thoại; đăng nhập đúng vai trò.</t>
        </is>
      </c>
      <c r="G19" s="3" t="inlineStr">
        <is>
          <t>1. Mở vị trí test: Mobile app &gt; Thống kê.
2. Thực hiện tình huống: Ngày không có giao dịch.
3. Kiểm tra giao diện, dữ liệu lưu trong hệ thống và phản hồi lỗi/thành công.</t>
        </is>
      </c>
      <c r="H19" s="3" t="inlineStr">
        <is>
          <t>1. Open test location: Mobile app &gt; Thống kê.
2. Execute scenario: Date range with no transactions.
3. Verify UI, saved data, and success/error response.</t>
        </is>
      </c>
      <c r="I19" s="3" t="inlineStr"/>
      <c r="J19" s="3" t="inlineStr">
        <is>
          <t>Hiển thị empty state/0 thay vì lỗi.</t>
        </is>
      </c>
      <c r="K19" s="3" t="inlineStr">
        <is>
          <t>Shows empty state/zero instead of error.</t>
        </is>
      </c>
      <c r="L19" s="9" t="inlineStr"/>
      <c r="M19" s="10" t="inlineStr">
        <is>
          <t>Pending / Chưa chạy</t>
        </is>
      </c>
      <c r="N19" s="3" t="inlineStr">
        <is>
          <t>Chưa chạy / Not executed</t>
        </is>
      </c>
      <c r="O19" s="3" t="inlineStr"/>
    </row>
    <row r="20" ht="96" customHeight="1">
      <c r="A20" s="9" t="inlineStr">
        <is>
          <t>MOB-STATS-009</t>
        </is>
      </c>
      <c r="B20" s="3" t="inlineStr">
        <is>
          <t>Thống kê</t>
        </is>
      </c>
      <c r="C20" s="3" t="inlineStr">
        <is>
          <t>Mobile app &gt; Thống kê</t>
        </is>
      </c>
      <c r="D20" s="3" t="inlineStr">
        <is>
          <t>Giá trị doanh thu lớn</t>
        </is>
      </c>
      <c r="E20" s="3" t="inlineStr">
        <is>
          <t>Large revenue values</t>
        </is>
      </c>
      <c r="F20" s="3" t="inlineStr">
        <is>
          <t>Backend đang chạy cổng 3000; cài APK hoặc chạy app trên emulator/điện thoại; đăng nhập đúng vai trò.</t>
        </is>
      </c>
      <c r="G20" s="3" t="inlineStr">
        <is>
          <t>1. Mở vị trí test: Mobile app &gt; Thống kê.
2. Thực hiện tình huống: Giá trị doanh thu lớn.
3. Kiểm tra giao diện, dữ liệu lưu trong hệ thống và phản hồi lỗi/thành công.</t>
        </is>
      </c>
      <c r="H20" s="3" t="inlineStr">
        <is>
          <t>1. Open test location: Mobile app &gt; Thống kê.
2. Execute scenario: Large revenue values.
3. Verify UI, saved data, and success/error response.</t>
        </is>
      </c>
      <c r="I20" s="3" t="inlineStr"/>
      <c r="J20" s="3" t="inlineStr">
        <is>
          <t>Số tiền lớn không tràn layout và format đúng.</t>
        </is>
      </c>
      <c r="K20" s="3" t="inlineStr">
        <is>
          <t>Large amounts do not overflow and are formatted correctly.</t>
        </is>
      </c>
      <c r="L20" s="9" t="inlineStr"/>
      <c r="M20" s="10" t="inlineStr">
        <is>
          <t>Pending / Chưa chạy</t>
        </is>
      </c>
      <c r="N20" s="3" t="inlineStr">
        <is>
          <t>Chưa chạy / Not executed</t>
        </is>
      </c>
      <c r="O20" s="3" t="inlineStr"/>
    </row>
    <row r="21" ht="96" customHeight="1">
      <c r="A21" s="9" t="inlineStr">
        <is>
          <t>MOB-STATS-010</t>
        </is>
      </c>
      <c r="B21" s="3" t="inlineStr">
        <is>
          <t>Thống kê</t>
        </is>
      </c>
      <c r="C21" s="3" t="inlineStr">
        <is>
          <t>Mobile app &gt; Thống kê</t>
        </is>
      </c>
      <c r="D21" s="3" t="inlineStr">
        <is>
          <t>Mất kết nối khi tải thống kê</t>
        </is>
      </c>
      <c r="E21" s="3" t="inlineStr">
        <is>
          <t>Connection loss while loading statistics</t>
        </is>
      </c>
      <c r="F21" s="3" t="inlineStr">
        <is>
          <t>Backend đang chạy cổng 3000; cài APK hoặc chạy app trên emulator/điện thoại; đăng nhập đúng vai trò.</t>
        </is>
      </c>
      <c r="G21" s="3" t="inlineStr">
        <is>
          <t>1. Mở vị trí test: Mobile app &gt; Thống kê.
2. Thực hiện tình huống: Mất kết nối khi tải thống kê.
3. Kiểm tra giao diện, dữ liệu lưu trong hệ thống và phản hồi lỗi/thành công.</t>
        </is>
      </c>
      <c r="H21" s="3" t="inlineStr">
        <is>
          <t>1. Open test location: Mobile app &gt; Thống kê.
2. Execute scenario: Connection loss while loading statistics.
3. Verify UI, saved data, and success/error response.</t>
        </is>
      </c>
      <c r="I21" s="3" t="inlineStr"/>
      <c r="J21" s="3" t="inlineStr">
        <is>
          <t>App hiển thị lỗi có thể thử lại.</t>
        </is>
      </c>
      <c r="K21" s="3" t="inlineStr">
        <is>
          <t>App shows retryable error.</t>
        </is>
      </c>
      <c r="L21" s="9" t="inlineStr"/>
      <c r="M21" s="10" t="inlineStr">
        <is>
          <t>Pending / Chưa chạy</t>
        </is>
      </c>
      <c r="N21" s="3" t="inlineStr">
        <is>
          <t>Chưa chạy / Not executed</t>
        </is>
      </c>
      <c r="O21" s="3" t="inlineStr"/>
    </row>
    <row r="22" ht="96" customHeight="1">
      <c r="A22" s="9" t="inlineStr">
        <is>
          <t>MOB-STATS-011</t>
        </is>
      </c>
      <c r="B22" s="3" t="inlineStr">
        <is>
          <t>Thống kê</t>
        </is>
      </c>
      <c r="C22" s="3" t="inlineStr">
        <is>
          <t>Mobile app &gt; Thống kê</t>
        </is>
      </c>
      <c r="D22" s="3" t="inlineStr">
        <is>
          <t>Dữ liệu thống kê khớp danh sách hóa đơn</t>
        </is>
      </c>
      <c r="E22" s="3" t="inlineStr">
        <is>
          <t>Statistics match invoice list</t>
        </is>
      </c>
      <c r="F22" s="3" t="inlineStr">
        <is>
          <t>Backend đang chạy cổng 3000; cài APK hoặc chạy app trên emulator/điện thoại; đăng nhập đúng vai trò.</t>
        </is>
      </c>
      <c r="G22" s="3" t="inlineStr">
        <is>
          <t>1. Mở vị trí test: Mobile app &gt; Thống kê.
2. Thực hiện tình huống: Dữ liệu thống kê khớp danh sách hóa đơn.
3. Kiểm tra giao diện, dữ liệu lưu trong hệ thống và phản hồi lỗi/thành công.</t>
        </is>
      </c>
      <c r="H22" s="3" t="inlineStr">
        <is>
          <t>1. Open test location: Mobile app &gt; Thống kê.
2. Execute scenario: Statistics match invoice list.
3. Verify UI, saved data, and success/error response.</t>
        </is>
      </c>
      <c r="I22" s="3" t="inlineStr"/>
      <c r="J22" s="3" t="inlineStr">
        <is>
          <t>Tổng doanh thu bằng tổng các hóa đơn paid trong kỳ.</t>
        </is>
      </c>
      <c r="K22" s="3" t="inlineStr">
        <is>
          <t>Revenue equals sum of paid invoices in the period.</t>
        </is>
      </c>
      <c r="L22" s="9" t="inlineStr"/>
      <c r="M22" s="10" t="inlineStr">
        <is>
          <t>Pending / Chưa chạy</t>
        </is>
      </c>
      <c r="N22" s="3" t="inlineStr">
        <is>
          <t>Chưa chạy / Not executed</t>
        </is>
      </c>
      <c r="O22" s="3" t="inlineStr"/>
    </row>
    <row r="23" ht="96" customHeight="1">
      <c r="A23" s="9" t="inlineStr">
        <is>
          <t>MOB-STATS-012</t>
        </is>
      </c>
      <c r="B23" s="3" t="inlineStr">
        <is>
          <t>Thống kê</t>
        </is>
      </c>
      <c r="C23" s="3" t="inlineStr">
        <is>
          <t>Mobile app &gt; Thống kê</t>
        </is>
      </c>
      <c r="D23" s="3" t="inlineStr">
        <is>
          <t>Đổi timezone thiết bị</t>
        </is>
      </c>
      <c r="E23" s="3" t="inlineStr">
        <is>
          <t>Change device timezone</t>
        </is>
      </c>
      <c r="F23" s="3" t="inlineStr">
        <is>
          <t>Backend đang chạy cổng 3000; cài APK hoặc chạy app trên emulator/điện thoại; đăng nhập đúng vai trò.</t>
        </is>
      </c>
      <c r="G23" s="3" t="inlineStr">
        <is>
          <t>1. Mở vị trí test: Mobile app &gt; Thống kê.
2. Thực hiện tình huống: Đổi timezone thiết bị.
3. Kiểm tra giao diện, dữ liệu lưu trong hệ thống và phản hồi lỗi/thành công.</t>
        </is>
      </c>
      <c r="H23" s="3" t="inlineStr">
        <is>
          <t>1. Open test location: Mobile app &gt; Thống kê.
2. Execute scenario: Change device timezone.
3. Verify UI, saved data, and success/error response.</t>
        </is>
      </c>
      <c r="I23" s="3" t="inlineStr"/>
      <c r="J23" s="3" t="inlineStr">
        <is>
          <t>Ngày thống kê vẫn nhất quán với dữ liệu backend.</t>
        </is>
      </c>
      <c r="K23" s="3" t="inlineStr">
        <is>
          <t>Report date remains consistent with backend data.</t>
        </is>
      </c>
      <c r="L23" s="9" t="inlineStr"/>
      <c r="M23" s="10" t="inlineStr">
        <is>
          <t>Pending / Chưa chạy</t>
        </is>
      </c>
      <c r="N23" s="3" t="inlineStr">
        <is>
          <t>Chưa chạy / Not executed</t>
        </is>
      </c>
      <c r="O23" s="3" t="inlineStr"/>
    </row>
  </sheetData>
  <autoFilter ref="A9:O23"/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52" customWidth="1" min="3" max="3"/>
    <col width="28" customWidth="1" min="4" max="4"/>
    <col width="16" customWidth="1" min="5" max="5"/>
    <col width="14" customWidth="1" min="6" max="6"/>
    <col width="28" customWidth="1" min="7" max="7"/>
  </cols>
  <sheetData>
    <row r="1">
      <c r="A1" s="6" t="inlineStr">
        <is>
          <t>TEST REPORT</t>
        </is>
      </c>
    </row>
    <row r="3">
      <c r="A3" s="7" t="inlineStr">
        <is>
          <t>System Name</t>
        </is>
      </c>
      <c r="B3" s="3" t="inlineStr">
        <is>
          <t>Quản Lý Nhà Hàng / Restaurant Management System</t>
        </is>
      </c>
    </row>
    <row r="4">
      <c r="A4" s="7" t="inlineStr">
        <is>
          <t>Module</t>
        </is>
      </c>
      <c r="B4" s="3" t="inlineStr">
        <is>
          <t>Mobile - Thống kê / Mobile - Statistics</t>
        </is>
      </c>
    </row>
    <row r="5">
      <c r="A5" s="7" t="inlineStr">
        <is>
          <t>Module Code</t>
        </is>
      </c>
      <c r="B5" s="3" t="inlineStr">
        <is>
          <t>MOB-STATS</t>
        </is>
      </c>
    </row>
    <row r="6">
      <c r="A6" s="7" t="inlineStr">
        <is>
          <t>Issue date</t>
        </is>
      </c>
      <c r="B6" s="3" t="inlineStr">
        <is>
          <t>21/05/2026</t>
        </is>
      </c>
    </row>
    <row r="7">
      <c r="A7" s="7" t="inlineStr">
        <is>
          <t>Total test cases</t>
        </is>
      </c>
      <c r="B7" s="3" t="n">
        <v>12</v>
      </c>
    </row>
    <row r="10">
      <c r="A10" s="8" t="inlineStr">
        <is>
          <t>Result</t>
        </is>
      </c>
      <c r="B10" s="8" t="inlineStr">
        <is>
          <t>Count</t>
        </is>
      </c>
      <c r="C10" s="8" t="inlineStr">
        <is>
          <t>Meaning / Ý nghĩa</t>
        </is>
      </c>
      <c r="D10" s="8" t="inlineStr">
        <is>
          <t>Scope</t>
        </is>
      </c>
      <c r="E10" s="8" t="inlineStr">
        <is>
          <t>Owner</t>
        </is>
      </c>
      <c r="F10" s="8" t="inlineStr">
        <is>
          <t>Date</t>
        </is>
      </c>
      <c r="G10" s="8" t="inlineStr">
        <is>
          <t>Note</t>
        </is>
      </c>
    </row>
    <row r="11">
      <c r="A11" s="11" t="inlineStr">
        <is>
          <t>Pass / Đạt</t>
        </is>
      </c>
      <c r="B11" s="3">
        <f>COUNTIF('Test Cases'!M12:M500,"Pass*")</f>
        <v/>
      </c>
      <c r="C11" s="3" t="inlineStr">
        <is>
          <t>Executed and matched expected result / Đã chạy và đúng mong đợi</t>
        </is>
      </c>
      <c r="D11" s="3" t="inlineStr">
        <is>
          <t>Mobile - Thống kê</t>
        </is>
      </c>
      <c r="E11" s="3" t="inlineStr">
        <is>
          <t>QA / Dev</t>
        </is>
      </c>
      <c r="F11" s="3" t="inlineStr">
        <is>
          <t>21/05/2026</t>
        </is>
      </c>
      <c r="G11" s="3" t="inlineStr"/>
    </row>
    <row r="12">
      <c r="A12" s="12" t="inlineStr">
        <is>
          <t>Fail / Không đạt</t>
        </is>
      </c>
      <c r="B12" s="3">
        <f>COUNTIF('Test Cases'!M12:M500,"Fail*")</f>
        <v/>
      </c>
      <c r="C12" s="3" t="inlineStr">
        <is>
          <t>Executed but did not match expected result / Đã chạy nhưng sai mong đợi</t>
        </is>
      </c>
      <c r="D12" s="3" t="inlineStr">
        <is>
          <t>Mobile - Thống kê</t>
        </is>
      </c>
      <c r="E12" s="3" t="inlineStr">
        <is>
          <t>QA / Dev</t>
        </is>
      </c>
      <c r="F12" s="3" t="inlineStr">
        <is>
          <t>21/05/2026</t>
        </is>
      </c>
      <c r="G12" s="3" t="inlineStr"/>
    </row>
    <row r="13">
      <c r="A13" s="13" t="inlineStr">
        <is>
          <t>Pending / Chưa chạy</t>
        </is>
      </c>
      <c r="B13" s="3">
        <f>COUNTIF('Test Cases'!M12:M500,"Pending*")</f>
        <v/>
      </c>
      <c r="C13" s="3" t="inlineStr">
        <is>
          <t>Written but not yet executed manually / Đã viết, chưa chạy thủ công</t>
        </is>
      </c>
      <c r="D13" s="3" t="inlineStr">
        <is>
          <t>Mobile - Thống kê</t>
        </is>
      </c>
      <c r="E13" s="3" t="inlineStr">
        <is>
          <t>QA / Dev</t>
        </is>
      </c>
      <c r="F13" s="3" t="inlineStr">
        <is>
          <t>21/05/2026</t>
        </is>
      </c>
      <c r="G13" s="3" t="inlineStr"/>
    </row>
    <row r="14">
      <c r="A14" s="3" t="inlineStr">
        <is>
          <t>Number of test cases</t>
        </is>
      </c>
      <c r="B14" s="3">
        <f>COUNTA('Test Cases'!A12:A500)</f>
        <v/>
      </c>
      <c r="C14" s="3" t="inlineStr">
        <is>
          <t>Total case rows / Tổng số dòng case</t>
        </is>
      </c>
      <c r="D14" s="3" t="inlineStr">
        <is>
          <t>Mobile - Thống kê</t>
        </is>
      </c>
      <c r="E14" s="3" t="inlineStr">
        <is>
          <t>QA / Dev</t>
        </is>
      </c>
      <c r="F14" s="3" t="inlineStr">
        <is>
          <t>21/05/2026</t>
        </is>
      </c>
      <c r="G14" s="3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2026-05-21T11:33:23Z</dcterms:created>
  <dcterms:modified xmlns:dcterms="http://purl.org/dc/terms/" xmlns:xsi="http://www.w3.org/2001/XMLSchema-instance" xsi:type="dcterms:W3CDTF">2026-05-21T11:33:23Z</dcterms:modified>
</cp:coreProperties>
</file>