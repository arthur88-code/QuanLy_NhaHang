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Report" sheetId="3" state="visible" r:id="rId3"/>
  </sheets>
  <definedNames>
    <definedName name="_xlnm._FilterDatabase" localSheetId="1" hidden="1">'Test Cases'!$A$9:$O$23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2"/>
    </font>
    <font>
      <b val="1"/>
    </font>
    <font>
      <b val="1"/>
      <color rgb="00FFFFFF"/>
    </font>
    <font>
      <b val="1"/>
      <color rgb="00FFFFFF"/>
      <sz val="18"/>
    </font>
  </fonts>
  <fills count="8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AF4FF"/>
      </patternFill>
    </fill>
    <fill>
      <patternFill patternType="solid">
        <fgColor rgb="00D9EAF7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44" customWidth="1" min="4" max="4"/>
    <col width="18" customWidth="1" min="5" max="5"/>
    <col width="16" customWidth="1" min="6" max="6"/>
    <col width="38" customWidth="1" min="7" max="7"/>
    <col width="14" customWidth="1" min="8" max="8"/>
  </cols>
  <sheetData>
    <row r="1">
      <c r="A1" s="1" t="inlineStr">
        <is>
          <t>TEST CASE</t>
        </is>
      </c>
    </row>
    <row r="2"/>
    <row r="4">
      <c r="A4" s="2" t="inlineStr">
        <is>
          <t>Project Name</t>
        </is>
      </c>
      <c r="B4" s="3" t="inlineStr">
        <is>
          <t>Quản Lý Nhà Hàng / Restaurant Management System</t>
        </is>
      </c>
    </row>
    <row r="5">
      <c r="A5" s="2" t="inlineStr">
        <is>
          <t>Project Code</t>
        </is>
      </c>
      <c r="B5" s="3" t="inlineStr">
        <is>
          <t>RMS-FLUTTER-NODE</t>
        </is>
      </c>
    </row>
    <row r="6">
      <c r="A6" s="2" t="inlineStr">
        <is>
          <t>Module</t>
        </is>
      </c>
      <c r="B6" s="3" t="inlineStr">
        <is>
          <t>UI/UX - Hình ảnh và khả dụng / UI/UX - Visual and Usability</t>
        </is>
      </c>
    </row>
    <row r="7">
      <c r="A7" s="2" t="inlineStr">
        <is>
          <t>Module Code</t>
        </is>
      </c>
      <c r="B7" s="3" t="inlineStr">
        <is>
          <t>UX-VISUAL</t>
        </is>
      </c>
    </row>
    <row r="8">
      <c r="A8" s="2" t="inlineStr">
        <is>
          <t>Version</t>
        </is>
      </c>
      <c r="B8" s="3" t="inlineStr">
        <is>
          <t>1.0</t>
        </is>
      </c>
    </row>
    <row r="9">
      <c r="A9" s="2" t="inlineStr">
        <is>
          <t>Issue date</t>
        </is>
      </c>
      <c r="B9" s="3" t="inlineStr">
        <is>
          <t>21/05/2026</t>
        </is>
      </c>
    </row>
    <row r="10">
      <c r="A10" s="2" t="inlineStr">
        <is>
          <t>Total test cases</t>
        </is>
      </c>
      <c r="B10" s="3" t="n">
        <v>12</v>
      </c>
    </row>
    <row r="11">
      <c r="A11" s="2" t="inlineStr">
        <is>
          <t>Language</t>
        </is>
      </c>
      <c r="B11" s="3" t="inlineStr">
        <is>
          <t>Tiếng Việt + English</t>
        </is>
      </c>
    </row>
    <row r="12">
      <c r="A12" s="2" t="inlineStr">
        <is>
          <t>Result policy</t>
        </is>
      </c>
      <c r="B12" s="3" t="inlineStr">
        <is>
          <t>Pass/Fail only for executed smoke checks; Pending means written but not executed manually.</t>
        </is>
      </c>
    </row>
    <row r="14">
      <c r="A14" s="4" t="inlineStr">
        <is>
          <t>Record of change / Lịch sử thay đổi</t>
        </is>
      </c>
    </row>
    <row r="15">
      <c r="A15" s="5" t="inlineStr">
        <is>
          <t>Version</t>
        </is>
      </c>
      <c r="B15" s="5" t="inlineStr">
        <is>
          <t>Date</t>
        </is>
      </c>
      <c r="C15" s="5" t="inlineStr">
        <is>
          <t>Author</t>
        </is>
      </c>
      <c r="D15" s="5" t="inlineStr">
        <is>
          <t>Change description</t>
        </is>
      </c>
      <c r="E15" s="5" t="inlineStr">
        <is>
          <t>Reviewer</t>
        </is>
      </c>
      <c r="F15" s="5" t="inlineStr">
        <is>
          <t>Status</t>
        </is>
      </c>
      <c r="G15" s="5" t="inlineStr">
        <is>
          <t>Note</t>
        </is>
      </c>
      <c r="H15" s="5" t="inlineStr"/>
    </row>
    <row r="16">
      <c r="A16" s="3" t="inlineStr">
        <is>
          <t>1.0</t>
        </is>
      </c>
      <c r="B16" s="3" t="inlineStr">
        <is>
          <t>21/05/2026</t>
        </is>
      </c>
      <c r="C16" s="3" t="inlineStr">
        <is>
          <t>Codex</t>
        </is>
      </c>
      <c r="D16" s="3" t="inlineStr">
        <is>
          <t>Create bilingual test cases for UI/UX - Hình ảnh và khả dụng</t>
        </is>
      </c>
      <c r="E16" s="3" t="inlineStr"/>
      <c r="F16" s="3" t="inlineStr">
        <is>
          <t>Draft</t>
        </is>
      </c>
      <c r="G16" s="3" t="inlineStr">
        <is>
          <t>Kiểm tra phong cách đen trắng xanh nước biển, hình ảnh và thao tác người dùng</t>
        </is>
      </c>
      <c r="H16" s="3" t="inlineStr"/>
    </row>
  </sheetData>
  <mergeCells count="2">
    <mergeCell ref="A1:H2"/>
    <mergeCell ref="A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34" customWidth="1" min="4" max="4"/>
    <col width="34" customWidth="1" min="5" max="5"/>
    <col width="34" customWidth="1" min="6" max="6"/>
    <col width="44" customWidth="1" min="7" max="7"/>
    <col width="44" customWidth="1" min="8" max="8"/>
    <col width="28" customWidth="1" min="9" max="9"/>
    <col width="38" customWidth="1" min="10" max="10"/>
    <col width="38" customWidth="1" min="11" max="11"/>
    <col width="14" customWidth="1" min="12" max="12"/>
    <col width="18" customWidth="1" min="13" max="13"/>
    <col width="38" customWidth="1" min="14" max="14"/>
    <col width="28" customWidth="1" min="15" max="15"/>
  </cols>
  <sheetData>
    <row r="1">
      <c r="A1" s="6" t="inlineStr">
        <is>
          <t>TEST CASE</t>
        </is>
      </c>
    </row>
    <row r="3">
      <c r="A3" s="7" t="inlineStr">
        <is>
          <t>System Name:</t>
        </is>
      </c>
      <c r="B3" s="3" t="inlineStr">
        <is>
          <t>Quản Lý Nhà Hàng / Restaurant Management System</t>
        </is>
      </c>
    </row>
    <row r="4">
      <c r="A4" s="7" t="inlineStr">
        <is>
          <t>Module Code:</t>
        </is>
      </c>
      <c r="B4" s="3" t="inlineStr">
        <is>
          <t>UX-VISUAL</t>
        </is>
      </c>
    </row>
    <row r="5">
      <c r="A5" s="7" t="inlineStr">
        <is>
          <t>Test requirement:</t>
        </is>
      </c>
      <c r="B5" s="3" t="inlineStr">
        <is>
          <t>Kiểm tra phong cách đen trắng xanh nước biển, hình ảnh và thao tác người dùng</t>
        </is>
      </c>
    </row>
    <row r="6">
      <c r="A6" s="7" t="inlineStr">
        <is>
          <t>Pass</t>
        </is>
      </c>
      <c r="B6" s="3">
        <f>COUNTIF(M12:M500,"Pass*")</f>
        <v/>
      </c>
      <c r="C6" s="7" t="inlineStr">
        <is>
          <t>Pending</t>
        </is>
      </c>
      <c r="D6" s="3">
        <f>COUNTIF(M12:M500,"Pending*")</f>
        <v/>
      </c>
    </row>
    <row r="7">
      <c r="A7" s="7" t="inlineStr">
        <is>
          <t>Fail</t>
        </is>
      </c>
      <c r="B7" s="3">
        <f>COUNTIF(M12:M500,"Fail*")</f>
        <v/>
      </c>
      <c r="C7" s="7" t="inlineStr">
        <is>
          <t>Number of test cases:</t>
        </is>
      </c>
      <c r="D7" s="3">
        <f>COUNTA(A12:A500)</f>
        <v/>
      </c>
    </row>
    <row r="9">
      <c r="A9" s="8" t="inlineStr">
        <is>
          <t>ID</t>
        </is>
      </c>
      <c r="B9" s="8" t="inlineStr">
        <is>
          <t>Function / Chức năng</t>
        </is>
      </c>
      <c r="C9" s="8" t="inlineStr">
        <is>
          <t>Test location / Vị trí test</t>
        </is>
      </c>
      <c r="D9" s="8" t="inlineStr">
        <is>
          <t>Test Case Description (VI)</t>
        </is>
      </c>
      <c r="E9" s="8" t="inlineStr">
        <is>
          <t>Test Case Description (EN)</t>
        </is>
      </c>
      <c r="F9" s="8" t="inlineStr">
        <is>
          <t>Preconditions / Tiền điều kiện</t>
        </is>
      </c>
      <c r="G9" s="8" t="inlineStr">
        <is>
          <t>Test Case Procedure (VI)</t>
        </is>
      </c>
      <c r="H9" s="8" t="inlineStr">
        <is>
          <t>Test Case Procedure (EN)</t>
        </is>
      </c>
      <c r="I9" s="8" t="inlineStr">
        <is>
          <t>Test Data / Dữ liệu</t>
        </is>
      </c>
      <c r="J9" s="8" t="inlineStr">
        <is>
          <t>Expected Output (VI)</t>
        </is>
      </c>
      <c r="K9" s="8" t="inlineStr">
        <is>
          <t>Expected Output (EN)</t>
        </is>
      </c>
      <c r="L9" s="8" t="inlineStr">
        <is>
          <t>Test date</t>
        </is>
      </c>
      <c r="M9" s="8" t="inlineStr">
        <is>
          <t>Result / Kết quả</t>
        </is>
      </c>
      <c r="N9" s="8" t="inlineStr">
        <is>
          <t>Actual Result / Kết quả thực tế</t>
        </is>
      </c>
      <c r="O9" s="8" t="inlineStr">
        <is>
          <t>Note / Ghi chú</t>
        </is>
      </c>
    </row>
    <row r="12" ht="96" customHeight="1">
      <c r="A12" s="9" t="inlineStr">
        <is>
          <t>UX-VISUAL-001</t>
        </is>
      </c>
      <c r="B12" s="3" t="inlineStr">
        <is>
          <t>UI/UX</t>
        </is>
      </c>
      <c r="C12" s="3" t="inlineStr">
        <is>
          <t>Mobile/Web UI</t>
        </is>
      </c>
      <c r="D12" s="3" t="inlineStr">
        <is>
          <t>Tên app hiển thị là Quản Lý Nhà Hàng, không phải frontend</t>
        </is>
      </c>
      <c r="E12" s="3" t="inlineStr">
        <is>
          <t>App name is Restaurant Management, not frontend</t>
        </is>
      </c>
      <c r="F12" s="3" t="inlineStr">
        <is>
          <t>Backend, mobile app và web app đều dùng cùng dữ liệu; reset demo nếu cần trạng thái sạch.</t>
        </is>
      </c>
      <c r="G12" s="3" t="inlineStr">
        <is>
          <t>1. Mở vị trí test: Mobile/Web UI.
2. Thực hiện tình huống: Tên app hiển thị là Quản Lý Nhà Hàng, không phải frontend.
3. Kiểm tra giao diện, dữ liệu lưu trong hệ thống và phản hồi lỗi/thành công.</t>
        </is>
      </c>
      <c r="H12" s="3" t="inlineStr">
        <is>
          <t>1. Open test location: Mobile/Web UI.
2. Execute scenario: App name is Restaurant Management, not frontend.
3. Verify UI, saved data, and success/error response.</t>
        </is>
      </c>
      <c r="I12" s="3" t="inlineStr"/>
      <c r="J12" s="3" t="inlineStr">
        <is>
          <t>Android launcher/web title/app bar dùng đúng tên.</t>
        </is>
      </c>
      <c r="K12" s="3" t="inlineStr">
        <is>
          <t>Android launcher/web title/app bar use correct name.</t>
        </is>
      </c>
      <c r="L12" s="9" t="inlineStr"/>
      <c r="M12" s="10" t="inlineStr">
        <is>
          <t>Pending / Chưa chạy</t>
        </is>
      </c>
      <c r="N12" s="3" t="inlineStr">
        <is>
          <t>Chưa chạy / Not executed</t>
        </is>
      </c>
      <c r="O12" s="3" t="inlineStr"/>
    </row>
    <row r="13" ht="96" customHeight="1">
      <c r="A13" s="9" t="inlineStr">
        <is>
          <t>UX-VISUAL-002</t>
        </is>
      </c>
      <c r="B13" s="3" t="inlineStr">
        <is>
          <t>UI/UX</t>
        </is>
      </c>
      <c r="C13" s="3" t="inlineStr">
        <is>
          <t>Mobile/Web UI</t>
        </is>
      </c>
      <c r="D13" s="3" t="inlineStr">
        <is>
          <t>Logo tham chiếu hiển thị đúng tỉ lệ</t>
        </is>
      </c>
      <c r="E13" s="3" t="inlineStr">
        <is>
          <t>Reference logo displays with correct ratio</t>
        </is>
      </c>
      <c r="F13" s="3" t="inlineStr">
        <is>
          <t>Backend, mobile app và web app đều dùng cùng dữ liệu; reset demo nếu cần trạng thái sạch.</t>
        </is>
      </c>
      <c r="G13" s="3" t="inlineStr">
        <is>
          <t>1. Mở vị trí test: Mobile/Web UI.
2. Thực hiện tình huống: Logo tham chiếu hiển thị đúng tỉ lệ.
3. Kiểm tra giao diện, dữ liệu lưu trong hệ thống và phản hồi lỗi/thành công.</t>
        </is>
      </c>
      <c r="H13" s="3" t="inlineStr">
        <is>
          <t>1. Open test location: Mobile/Web UI.
2. Execute scenario: Reference logo displays with correct ratio.
3. Verify UI, saved data, and success/error response.</t>
        </is>
      </c>
      <c r="I13" s="3" t="inlineStr"/>
      <c r="J13" s="3" t="inlineStr">
        <is>
          <t>Logo không méo, không bị cắt xấu.</t>
        </is>
      </c>
      <c r="K13" s="3" t="inlineStr">
        <is>
          <t>Logo is not distorted or badly cropped.</t>
        </is>
      </c>
      <c r="L13" s="9" t="inlineStr"/>
      <c r="M13" s="10" t="inlineStr">
        <is>
          <t>Pending / Chưa chạy</t>
        </is>
      </c>
      <c r="N13" s="3" t="inlineStr">
        <is>
          <t>Chưa chạy / Not executed</t>
        </is>
      </c>
      <c r="O13" s="3" t="inlineStr"/>
    </row>
    <row r="14" ht="96" customHeight="1">
      <c r="A14" s="9" t="inlineStr">
        <is>
          <t>UX-VISUAL-003</t>
        </is>
      </c>
      <c r="B14" s="3" t="inlineStr">
        <is>
          <t>UI/UX</t>
        </is>
      </c>
      <c r="C14" s="3" t="inlineStr">
        <is>
          <t>Mobile/Web UI</t>
        </is>
      </c>
      <c r="D14" s="3" t="inlineStr">
        <is>
          <t>Palette đen trắng xanh nước biển nhất quán</t>
        </is>
      </c>
      <c r="E14" s="3" t="inlineStr">
        <is>
          <t>Black-white-ocean-blue palette is consistent</t>
        </is>
      </c>
      <c r="F14" s="3" t="inlineStr">
        <is>
          <t>Backend, mobile app và web app đều dùng cùng dữ liệu; reset demo nếu cần trạng thái sạch.</t>
        </is>
      </c>
      <c r="G14" s="3" t="inlineStr">
        <is>
          <t>1. Mở vị trí test: Mobile/Web UI.
2. Thực hiện tình huống: Palette đen trắng xanh nước biển nhất quán.
3. Kiểm tra giao diện, dữ liệu lưu trong hệ thống và phản hồi lỗi/thành công.</t>
        </is>
      </c>
      <c r="H14" s="3" t="inlineStr">
        <is>
          <t>1. Open test location: Mobile/Web UI.
2. Execute scenario: Black-white-ocean-blue palette is consistent.
3. Verify UI, saved data, and success/error response.</t>
        </is>
      </c>
      <c r="I14" s="3" t="inlineStr"/>
      <c r="J14" s="3" t="inlineStr">
        <is>
          <t>Nút chính, app bar, chip trạng thái dùng màu hợp lý.</t>
        </is>
      </c>
      <c r="K14" s="3" t="inlineStr">
        <is>
          <t>Primary buttons, app bars, and chips use coherent colors.</t>
        </is>
      </c>
      <c r="L14" s="9" t="inlineStr"/>
      <c r="M14" s="10" t="inlineStr">
        <is>
          <t>Pending / Chưa chạy</t>
        </is>
      </c>
      <c r="N14" s="3" t="inlineStr">
        <is>
          <t>Chưa chạy / Not executed</t>
        </is>
      </c>
      <c r="O14" s="3" t="inlineStr"/>
    </row>
    <row r="15" ht="96" customHeight="1">
      <c r="A15" s="9" t="inlineStr">
        <is>
          <t>UX-VISUAL-004</t>
        </is>
      </c>
      <c r="B15" s="3" t="inlineStr">
        <is>
          <t>UI/UX</t>
        </is>
      </c>
      <c r="C15" s="3" t="inlineStr">
        <is>
          <t>Mobile/Web UI</t>
        </is>
      </c>
      <c r="D15" s="3" t="inlineStr">
        <is>
          <t>Màu trạng thái bàn dễ phân biệt</t>
        </is>
      </c>
      <c r="E15" s="3" t="inlineStr">
        <is>
          <t>Table status colors are distinguishable</t>
        </is>
      </c>
      <c r="F15" s="3" t="inlineStr">
        <is>
          <t>Backend, mobile app và web app đều dùng cùng dữ liệu; reset demo nếu cần trạng thái sạch.</t>
        </is>
      </c>
      <c r="G15" s="3" t="inlineStr">
        <is>
          <t>1. Mở vị trí test: Mobile/Web UI.
2. Thực hiện tình huống: Màu trạng thái bàn dễ phân biệt.
3. Kiểm tra giao diện, dữ liệu lưu trong hệ thống và phản hồi lỗi/thành công.</t>
        </is>
      </c>
      <c r="H15" s="3" t="inlineStr">
        <is>
          <t>1. Open test location: Mobile/Web UI.
2. Execute scenario: Table status colors are distinguishable.
3. Verify UI, saved data, and success/error response.</t>
        </is>
      </c>
      <c r="I15" s="3" t="inlineStr"/>
      <c r="J15" s="3" t="inlineStr">
        <is>
          <t>Trống/đang dùng/đặt trước có màu và nhãn rõ.</t>
        </is>
      </c>
      <c r="K15" s="3" t="inlineStr">
        <is>
          <t>Available/occupied/reserved have clear colors and labels.</t>
        </is>
      </c>
      <c r="L15" s="9" t="inlineStr"/>
      <c r="M15" s="10" t="inlineStr">
        <is>
          <t>Pending / Chưa chạy</t>
        </is>
      </c>
      <c r="N15" s="3" t="inlineStr">
        <is>
          <t>Chưa chạy / Not executed</t>
        </is>
      </c>
      <c r="O15" s="3" t="inlineStr"/>
    </row>
    <row r="16" ht="96" customHeight="1">
      <c r="A16" s="9" t="inlineStr">
        <is>
          <t>UX-VISUAL-005</t>
        </is>
      </c>
      <c r="B16" s="3" t="inlineStr">
        <is>
          <t>UI/UX</t>
        </is>
      </c>
      <c r="C16" s="3" t="inlineStr">
        <is>
          <t>Mobile/Web UI</t>
        </is>
      </c>
      <c r="D16" s="3" t="inlineStr">
        <is>
          <t>Ảnh món ăn đẹp và không giống placeholder lỗi</t>
        </is>
      </c>
      <c r="E16" s="3" t="inlineStr">
        <is>
          <t>Food images are attractive and not broken placeholders</t>
        </is>
      </c>
      <c r="F16" s="3" t="inlineStr">
        <is>
          <t>Backend, mobile app và web app đều dùng cùng dữ liệu; reset demo nếu cần trạng thái sạch.</t>
        </is>
      </c>
      <c r="G16" s="3" t="inlineStr">
        <is>
          <t>1. Mở vị trí test: Mobile/Web UI.
2. Thực hiện tình huống: Ảnh món ăn đẹp và không giống placeholder lỗi.
3. Kiểm tra giao diện, dữ liệu lưu trong hệ thống và phản hồi lỗi/thành công.</t>
        </is>
      </c>
      <c r="H16" s="3" t="inlineStr">
        <is>
          <t>1. Open test location: Mobile/Web UI.
2. Execute scenario: Food images are attractive and not broken placeholders.
3. Verify UI, saved data, and success/error response.</t>
        </is>
      </c>
      <c r="I16" s="3" t="inlineStr"/>
      <c r="J16" s="3" t="inlineStr">
        <is>
          <t>Ảnh tải từ URL mạng hoặc fallback đẹp.</t>
        </is>
      </c>
      <c r="K16" s="3" t="inlineStr">
        <is>
          <t>Network images or fallbacks look good.</t>
        </is>
      </c>
      <c r="L16" s="9" t="inlineStr"/>
      <c r="M16" s="10" t="inlineStr">
        <is>
          <t>Pending / Chưa chạy</t>
        </is>
      </c>
      <c r="N16" s="3" t="inlineStr">
        <is>
          <t>Chưa chạy / Not executed</t>
        </is>
      </c>
      <c r="O16" s="3" t="inlineStr"/>
    </row>
    <row r="17" ht="96" customHeight="1">
      <c r="A17" s="9" t="inlineStr">
        <is>
          <t>UX-VISUAL-006</t>
        </is>
      </c>
      <c r="B17" s="3" t="inlineStr">
        <is>
          <t>UI/UX</t>
        </is>
      </c>
      <c r="C17" s="3" t="inlineStr">
        <is>
          <t>Mobile/Web UI</t>
        </is>
      </c>
      <c r="D17" s="3" t="inlineStr">
        <is>
          <t>Text trên nút không bị cắt ở mobile</t>
        </is>
      </c>
      <c r="E17" s="3" t="inlineStr">
        <is>
          <t>Button text is not clipped on mobile</t>
        </is>
      </c>
      <c r="F17" s="3" t="inlineStr">
        <is>
          <t>Backend, mobile app và web app đều dùng cùng dữ liệu; reset demo nếu cần trạng thái sạch.</t>
        </is>
      </c>
      <c r="G17" s="3" t="inlineStr">
        <is>
          <t>1. Mở vị trí test: Mobile/Web UI.
2. Thực hiện tình huống: Text trên nút không bị cắt ở mobile.
3. Kiểm tra giao diện, dữ liệu lưu trong hệ thống và phản hồi lỗi/thành công.</t>
        </is>
      </c>
      <c r="H17" s="3" t="inlineStr">
        <is>
          <t>1. Open test location: Mobile/Web UI.
2. Execute scenario: Button text is not clipped on mobile.
3. Verify UI, saved data, and success/error response.</t>
        </is>
      </c>
      <c r="I17" s="3" t="inlineStr"/>
      <c r="J17" s="3" t="inlineStr">
        <is>
          <t>Nút Thêm bàn, Gọi món, Đã trả đọc được ở màn nhỏ.</t>
        </is>
      </c>
      <c r="K17" s="3" t="inlineStr">
        <is>
          <t>Add table, order, and paid buttons remain readable on small screens.</t>
        </is>
      </c>
      <c r="L17" s="9" t="inlineStr"/>
      <c r="M17" s="10" t="inlineStr">
        <is>
          <t>Pending / Chưa chạy</t>
        </is>
      </c>
      <c r="N17" s="3" t="inlineStr">
        <is>
          <t>Chưa chạy / Not executed</t>
        </is>
      </c>
      <c r="O17" s="3" t="inlineStr"/>
    </row>
    <row r="18" ht="96" customHeight="1">
      <c r="A18" s="9" t="inlineStr">
        <is>
          <t>UX-VISUAL-007</t>
        </is>
      </c>
      <c r="B18" s="3" t="inlineStr">
        <is>
          <t>UI/UX</t>
        </is>
      </c>
      <c r="C18" s="3" t="inlineStr">
        <is>
          <t>Mobile/Web UI</t>
        </is>
      </c>
      <c r="D18" s="3" t="inlineStr">
        <is>
          <t>Không có cảnh báo overflow trên app</t>
        </is>
      </c>
      <c r="E18" s="3" t="inlineStr">
        <is>
          <t>No overflow warning in app</t>
        </is>
      </c>
      <c r="F18" s="3" t="inlineStr">
        <is>
          <t>Backend, mobile app và web app đều dùng cùng dữ liệu; reset demo nếu cần trạng thái sạch.</t>
        </is>
      </c>
      <c r="G18" s="3" t="inlineStr">
        <is>
          <t>1. Mở vị trí test: Mobile/Web UI.
2. Thực hiện tình huống: Không có cảnh báo overflow trên app.
3. Kiểm tra giao diện, dữ liệu lưu trong hệ thống và phản hồi lỗi/thành công.</t>
        </is>
      </c>
      <c r="H18" s="3" t="inlineStr">
        <is>
          <t>1. Open test location: Mobile/Web UI.
2. Execute scenario: No overflow warning in app.
3. Verify UI, saved data, and success/error response.</t>
        </is>
      </c>
      <c r="I18" s="3" t="inlineStr"/>
      <c r="J18" s="3" t="inlineStr">
        <is>
          <t>Không còn sọc vàng/đen ở card bàn hoặc màn khác.</t>
        </is>
      </c>
      <c r="K18" s="3" t="inlineStr">
        <is>
          <t>No yellow/black overflow stripes on table cards or other screens.</t>
        </is>
      </c>
      <c r="L18" s="9" t="inlineStr"/>
      <c r="M18" s="10" t="inlineStr">
        <is>
          <t>Pending / Chưa chạy</t>
        </is>
      </c>
      <c r="N18" s="3" t="inlineStr">
        <is>
          <t>Chưa chạy / Not executed</t>
        </is>
      </c>
      <c r="O18" s="3" t="inlineStr"/>
    </row>
    <row r="19" ht="96" customHeight="1">
      <c r="A19" s="9" t="inlineStr">
        <is>
          <t>UX-VISUAL-008</t>
        </is>
      </c>
      <c r="B19" s="3" t="inlineStr">
        <is>
          <t>UI/UX</t>
        </is>
      </c>
      <c r="C19" s="3" t="inlineStr">
        <is>
          <t>Mobile/Web UI</t>
        </is>
      </c>
      <c r="D19" s="3" t="inlineStr">
        <is>
          <t>Form dialog vừa màn hình điện thoại</t>
        </is>
      </c>
      <c r="E19" s="3" t="inlineStr">
        <is>
          <t>Dialogs fit phone screen</t>
        </is>
      </c>
      <c r="F19" s="3" t="inlineStr">
        <is>
          <t>Backend, mobile app và web app đều dùng cùng dữ liệu; reset demo nếu cần trạng thái sạch.</t>
        </is>
      </c>
      <c r="G19" s="3" t="inlineStr">
        <is>
          <t>1. Mở vị trí test: Mobile/Web UI.
2. Thực hiện tình huống: Form dialog vừa màn hình điện thoại.
3. Kiểm tra giao diện, dữ liệu lưu trong hệ thống và phản hồi lỗi/thành công.</t>
        </is>
      </c>
      <c r="H19" s="3" t="inlineStr">
        <is>
          <t>1. Open test location: Mobile/Web UI.
2. Execute scenario: Dialogs fit phone screen.
3. Verify UI, saved data, and success/error response.</t>
        </is>
      </c>
      <c r="I19" s="3" t="inlineStr"/>
      <c r="J19" s="3" t="inlineStr">
        <is>
          <t>Dialog thêm/sửa bàn/món/nhân viên có thể cuộn nếu cần.</t>
        </is>
      </c>
      <c r="K19" s="3" t="inlineStr">
        <is>
          <t>Add/edit dialogs are scrollable when needed.</t>
        </is>
      </c>
      <c r="L19" s="9" t="inlineStr"/>
      <c r="M19" s="10" t="inlineStr">
        <is>
          <t>Pending / Chưa chạy</t>
        </is>
      </c>
      <c r="N19" s="3" t="inlineStr">
        <is>
          <t>Chưa chạy / Not executed</t>
        </is>
      </c>
      <c r="O19" s="3" t="inlineStr"/>
    </row>
    <row r="20" ht="96" customHeight="1">
      <c r="A20" s="9" t="inlineStr">
        <is>
          <t>UX-VISUAL-009</t>
        </is>
      </c>
      <c r="B20" s="3" t="inlineStr">
        <is>
          <t>UI/UX</t>
        </is>
      </c>
      <c r="C20" s="3" t="inlineStr">
        <is>
          <t>Mobile/Web UI</t>
        </is>
      </c>
      <c r="D20" s="3" t="inlineStr">
        <is>
          <t>Loading state hiển thị trong lúc gọi API</t>
        </is>
      </c>
      <c r="E20" s="3" t="inlineStr">
        <is>
          <t>Loading state appears during API requests</t>
        </is>
      </c>
      <c r="F20" s="3" t="inlineStr">
        <is>
          <t>Backend, mobile app và web app đều dùng cùng dữ liệu; reset demo nếu cần trạng thái sạch.</t>
        </is>
      </c>
      <c r="G20" s="3" t="inlineStr">
        <is>
          <t>1. Mở vị trí test: Mobile/Web UI.
2. Thực hiện tình huống: Loading state hiển thị trong lúc gọi API.
3. Kiểm tra giao diện, dữ liệu lưu trong hệ thống và phản hồi lỗi/thành công.</t>
        </is>
      </c>
      <c r="H20" s="3" t="inlineStr">
        <is>
          <t>1. Open test location: Mobile/Web UI.
2. Execute scenario: Loading state appears during API requests.
3. Verify UI, saved data, and success/error response.</t>
        </is>
      </c>
      <c r="I20" s="3" t="inlineStr"/>
      <c r="J20" s="3" t="inlineStr">
        <is>
          <t>Spinner/skeleton xuất hiện và biến mất đúng lúc.</t>
        </is>
      </c>
      <c r="K20" s="3" t="inlineStr">
        <is>
          <t>Spinner/skeleton appears and disappears correctly.</t>
        </is>
      </c>
      <c r="L20" s="9" t="inlineStr"/>
      <c r="M20" s="10" t="inlineStr">
        <is>
          <t>Pending / Chưa chạy</t>
        </is>
      </c>
      <c r="N20" s="3" t="inlineStr">
        <is>
          <t>Chưa chạy / Not executed</t>
        </is>
      </c>
      <c r="O20" s="3" t="inlineStr"/>
    </row>
    <row r="21" ht="96" customHeight="1">
      <c r="A21" s="9" t="inlineStr">
        <is>
          <t>UX-VISUAL-010</t>
        </is>
      </c>
      <c r="B21" s="3" t="inlineStr">
        <is>
          <t>UI/UX</t>
        </is>
      </c>
      <c r="C21" s="3" t="inlineStr">
        <is>
          <t>Mobile/Web UI</t>
        </is>
      </c>
      <c r="D21" s="3" t="inlineStr">
        <is>
          <t>Empty state rõ ràng khi chưa có dữ liệu</t>
        </is>
      </c>
      <c r="E21" s="3" t="inlineStr">
        <is>
          <t>Empty state is clear when no data exists</t>
        </is>
      </c>
      <c r="F21" s="3" t="inlineStr">
        <is>
          <t>Backend, mobile app và web app đều dùng cùng dữ liệu; reset demo nếu cần trạng thái sạch.</t>
        </is>
      </c>
      <c r="G21" s="3" t="inlineStr">
        <is>
          <t>1. Mở vị trí test: Mobile/Web UI.
2. Thực hiện tình huống: Empty state rõ ràng khi chưa có dữ liệu.
3. Kiểm tra giao diện, dữ liệu lưu trong hệ thống và phản hồi lỗi/thành công.</t>
        </is>
      </c>
      <c r="H21" s="3" t="inlineStr">
        <is>
          <t>1. Open test location: Mobile/Web UI.
2. Execute scenario: Empty state is clear when no data exists.
3. Verify UI, saved data, and success/error response.</t>
        </is>
      </c>
      <c r="I21" s="3" t="inlineStr"/>
      <c r="J21" s="3" t="inlineStr">
        <is>
          <t>Hóa đơn/công nợ/trống dữ liệu có thông báo dễ hiểu.</t>
        </is>
      </c>
      <c r="K21" s="3" t="inlineStr">
        <is>
          <t>Invoices/debts/empty data show clear messages.</t>
        </is>
      </c>
      <c r="L21" s="9" t="inlineStr"/>
      <c r="M21" s="10" t="inlineStr">
        <is>
          <t>Pending / Chưa chạy</t>
        </is>
      </c>
      <c r="N21" s="3" t="inlineStr">
        <is>
          <t>Chưa chạy / Not executed</t>
        </is>
      </c>
      <c r="O21" s="3" t="inlineStr"/>
    </row>
    <row r="22" ht="96" customHeight="1">
      <c r="A22" s="9" t="inlineStr">
        <is>
          <t>UX-VISUAL-011</t>
        </is>
      </c>
      <c r="B22" s="3" t="inlineStr">
        <is>
          <t>UI/UX</t>
        </is>
      </c>
      <c r="C22" s="3" t="inlineStr">
        <is>
          <t>Mobile/Web UI</t>
        </is>
      </c>
      <c r="D22" s="3" t="inlineStr">
        <is>
          <t>Snackbar lỗi không che thao tác quan trọng quá lâu</t>
        </is>
      </c>
      <c r="E22" s="3" t="inlineStr">
        <is>
          <t>Error snackbar does not block important actions too long</t>
        </is>
      </c>
      <c r="F22" s="3" t="inlineStr">
        <is>
          <t>Backend, mobile app và web app đều dùng cùng dữ liệu; reset demo nếu cần trạng thái sạch.</t>
        </is>
      </c>
      <c r="G22" s="3" t="inlineStr">
        <is>
          <t>1. Mở vị trí test: Mobile/Web UI.
2. Thực hiện tình huống: Snackbar lỗi không che thao tác quan trọng quá lâu.
3. Kiểm tra giao diện, dữ liệu lưu trong hệ thống và phản hồi lỗi/thành công.</t>
        </is>
      </c>
      <c r="H22" s="3" t="inlineStr">
        <is>
          <t>1. Open test location: Mobile/Web UI.
2. Execute scenario: Error snackbar does not block important actions too long.
3. Verify UI, saved data, and success/error response.</t>
        </is>
      </c>
      <c r="I22" s="3" t="inlineStr"/>
      <c r="J22" s="3" t="inlineStr">
        <is>
          <t>Lỗi đọc được nhưng không làm app kẹt.</t>
        </is>
      </c>
      <c r="K22" s="3" t="inlineStr">
        <is>
          <t>Error is readable without trapping the user.</t>
        </is>
      </c>
      <c r="L22" s="9" t="inlineStr"/>
      <c r="M22" s="10" t="inlineStr">
        <is>
          <t>Pending / Chưa chạy</t>
        </is>
      </c>
      <c r="N22" s="3" t="inlineStr">
        <is>
          <t>Chưa chạy / Not executed</t>
        </is>
      </c>
      <c r="O22" s="3" t="inlineStr"/>
    </row>
    <row r="23" ht="96" customHeight="1">
      <c r="A23" s="9" t="inlineStr">
        <is>
          <t>UX-VISUAL-012</t>
        </is>
      </c>
      <c r="B23" s="3" t="inlineStr">
        <is>
          <t>UI/UX</t>
        </is>
      </c>
      <c r="C23" s="3" t="inlineStr">
        <is>
          <t>Mobile/Web UI</t>
        </is>
      </c>
      <c r="D23" s="3" t="inlineStr">
        <is>
          <t>Các chức năng chính thao tác được bằng một tay trên mobile</t>
        </is>
      </c>
      <c r="E23" s="3" t="inlineStr">
        <is>
          <t>Primary workflows are reachable one-handed on mobile</t>
        </is>
      </c>
      <c r="F23" s="3" t="inlineStr">
        <is>
          <t>Backend, mobile app và web app đều dùng cùng dữ liệu; reset demo nếu cần trạng thái sạch.</t>
        </is>
      </c>
      <c r="G23" s="3" t="inlineStr">
        <is>
          <t>1. Mở vị trí test: Mobile/Web UI.
2. Thực hiện tình huống: Các chức năng chính thao tác được bằng một tay trên mobile.
3. Kiểm tra giao diện, dữ liệu lưu trong hệ thống và phản hồi lỗi/thành công.</t>
        </is>
      </c>
      <c r="H23" s="3" t="inlineStr">
        <is>
          <t>1. Open test location: Mobile/Web UI.
2. Execute scenario: Primary workflows are reachable one-handed on mobile.
3. Verify UI, saved data, and success/error response.</t>
        </is>
      </c>
      <c r="I23" s="3" t="inlineStr"/>
      <c r="J23" s="3" t="inlineStr">
        <is>
          <t>Nút chính nằm trong vùng dễ bấm và kích thước đủ lớn.</t>
        </is>
      </c>
      <c r="K23" s="3" t="inlineStr">
        <is>
          <t>Primary actions are reachable and large enough.</t>
        </is>
      </c>
      <c r="L23" s="9" t="inlineStr"/>
      <c r="M23" s="10" t="inlineStr">
        <is>
          <t>Pending / Chưa chạy</t>
        </is>
      </c>
      <c r="N23" s="3" t="inlineStr">
        <is>
          <t>Chưa chạy / Not executed</t>
        </is>
      </c>
      <c r="O23" s="3" t="inlineStr"/>
    </row>
  </sheetData>
  <autoFilter ref="A9:O23"/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52" customWidth="1" min="3" max="3"/>
    <col width="28" customWidth="1" min="4" max="4"/>
    <col width="16" customWidth="1" min="5" max="5"/>
    <col width="14" customWidth="1" min="6" max="6"/>
    <col width="28" customWidth="1" min="7" max="7"/>
  </cols>
  <sheetData>
    <row r="1">
      <c r="A1" s="6" t="inlineStr">
        <is>
          <t>TEST REPORT</t>
        </is>
      </c>
    </row>
    <row r="3">
      <c r="A3" s="7" t="inlineStr">
        <is>
          <t>System Name</t>
        </is>
      </c>
      <c r="B3" s="3" t="inlineStr">
        <is>
          <t>Quản Lý Nhà Hàng / Restaurant Management System</t>
        </is>
      </c>
    </row>
    <row r="4">
      <c r="A4" s="7" t="inlineStr">
        <is>
          <t>Module</t>
        </is>
      </c>
      <c r="B4" s="3" t="inlineStr">
        <is>
          <t>UI/UX - Hình ảnh và khả dụng / UI/UX - Visual and Usability</t>
        </is>
      </c>
    </row>
    <row r="5">
      <c r="A5" s="7" t="inlineStr">
        <is>
          <t>Module Code</t>
        </is>
      </c>
      <c r="B5" s="3" t="inlineStr">
        <is>
          <t>UX-VISUAL</t>
        </is>
      </c>
    </row>
    <row r="6">
      <c r="A6" s="7" t="inlineStr">
        <is>
          <t>Issue date</t>
        </is>
      </c>
      <c r="B6" s="3" t="inlineStr">
        <is>
          <t>21/05/2026</t>
        </is>
      </c>
    </row>
    <row r="7">
      <c r="A7" s="7" t="inlineStr">
        <is>
          <t>Total test cases</t>
        </is>
      </c>
      <c r="B7" s="3" t="n">
        <v>12</v>
      </c>
    </row>
    <row r="10">
      <c r="A10" s="8" t="inlineStr">
        <is>
          <t>Result</t>
        </is>
      </c>
      <c r="B10" s="8" t="inlineStr">
        <is>
          <t>Count</t>
        </is>
      </c>
      <c r="C10" s="8" t="inlineStr">
        <is>
          <t>Meaning / Ý nghĩa</t>
        </is>
      </c>
      <c r="D10" s="8" t="inlineStr">
        <is>
          <t>Scope</t>
        </is>
      </c>
      <c r="E10" s="8" t="inlineStr">
        <is>
          <t>Owner</t>
        </is>
      </c>
      <c r="F10" s="8" t="inlineStr">
        <is>
          <t>Date</t>
        </is>
      </c>
      <c r="G10" s="8" t="inlineStr">
        <is>
          <t>Note</t>
        </is>
      </c>
    </row>
    <row r="11">
      <c r="A11" s="11" t="inlineStr">
        <is>
          <t>Pass / Đạt</t>
        </is>
      </c>
      <c r="B11" s="3">
        <f>COUNTIF('Test Cases'!M12:M500,"Pass*")</f>
        <v/>
      </c>
      <c r="C11" s="3" t="inlineStr">
        <is>
          <t>Executed and matched expected result / Đã chạy và đúng mong đợi</t>
        </is>
      </c>
      <c r="D11" s="3" t="inlineStr">
        <is>
          <t>UI/UX - Hình ảnh và khả dụng</t>
        </is>
      </c>
      <c r="E11" s="3" t="inlineStr">
        <is>
          <t>QA / Dev</t>
        </is>
      </c>
      <c r="F11" s="3" t="inlineStr">
        <is>
          <t>21/05/2026</t>
        </is>
      </c>
      <c r="G11" s="3" t="inlineStr"/>
    </row>
    <row r="12">
      <c r="A12" s="12" t="inlineStr">
        <is>
          <t>Fail / Không đạt</t>
        </is>
      </c>
      <c r="B12" s="3">
        <f>COUNTIF('Test Cases'!M12:M500,"Fail*")</f>
        <v/>
      </c>
      <c r="C12" s="3" t="inlineStr">
        <is>
          <t>Executed but did not match expected result / Đã chạy nhưng sai mong đợi</t>
        </is>
      </c>
      <c r="D12" s="3" t="inlineStr">
        <is>
          <t>UI/UX - Hình ảnh và khả dụng</t>
        </is>
      </c>
      <c r="E12" s="3" t="inlineStr">
        <is>
          <t>QA / Dev</t>
        </is>
      </c>
      <c r="F12" s="3" t="inlineStr">
        <is>
          <t>21/05/2026</t>
        </is>
      </c>
      <c r="G12" s="3" t="inlineStr"/>
    </row>
    <row r="13">
      <c r="A13" s="13" t="inlineStr">
        <is>
          <t>Pending / Chưa chạy</t>
        </is>
      </c>
      <c r="B13" s="3">
        <f>COUNTIF('Test Cases'!M12:M500,"Pending*")</f>
        <v/>
      </c>
      <c r="C13" s="3" t="inlineStr">
        <is>
          <t>Written but not yet executed manually / Đã viết, chưa chạy thủ công</t>
        </is>
      </c>
      <c r="D13" s="3" t="inlineStr">
        <is>
          <t>UI/UX - Hình ảnh và khả dụng</t>
        </is>
      </c>
      <c r="E13" s="3" t="inlineStr">
        <is>
          <t>QA / Dev</t>
        </is>
      </c>
      <c r="F13" s="3" t="inlineStr">
        <is>
          <t>21/05/2026</t>
        </is>
      </c>
      <c r="G13" s="3" t="inlineStr"/>
    </row>
    <row r="14">
      <c r="A14" s="3" t="inlineStr">
        <is>
          <t>Number of test cases</t>
        </is>
      </c>
      <c r="B14" s="3">
        <f>COUNTA('Test Cases'!A12:A500)</f>
        <v/>
      </c>
      <c r="C14" s="3" t="inlineStr">
        <is>
          <t>Total case rows / Tổng số dòng case</t>
        </is>
      </c>
      <c r="D14" s="3" t="inlineStr">
        <is>
          <t>UI/UX - Hình ảnh và khả dụng</t>
        </is>
      </c>
      <c r="E14" s="3" t="inlineStr">
        <is>
          <t>QA / Dev</t>
        </is>
      </c>
      <c r="F14" s="3" t="inlineStr">
        <is>
          <t>21/05/2026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2026-05-21T11:33:23Z</dcterms:created>
  <dcterms:modified xmlns:dcterms="http://purl.org/dc/terms/" xmlns:xsi="http://www.w3.org/2001/XMLSchema-instance" xsi:type="dcterms:W3CDTF">2026-05-21T11:33:23Z</dcterms:modified>
</cp:coreProperties>
</file>