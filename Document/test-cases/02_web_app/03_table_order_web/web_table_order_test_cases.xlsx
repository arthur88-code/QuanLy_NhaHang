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Test Report" sheetId="3" state="visible" r:id="rId3"/>
  </sheets>
  <definedNames>
    <definedName name="_xlnm._FilterDatabase" localSheetId="1" hidden="1">'Test Cases'!$A$9:$O$25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22"/>
    </font>
    <font>
      <b val="1"/>
    </font>
    <font>
      <b val="1"/>
      <color rgb="00FFFFFF"/>
    </font>
    <font>
      <b val="1"/>
      <color rgb="00FFFFFF"/>
      <sz val="18"/>
    </font>
  </fonts>
  <fills count="8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EAF4FF"/>
      </patternFill>
    </fill>
    <fill>
      <patternFill patternType="solid">
        <fgColor rgb="00D9EAF7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1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8" customWidth="1" min="3" max="3"/>
    <col width="44" customWidth="1" min="4" max="4"/>
    <col width="18" customWidth="1" min="5" max="5"/>
    <col width="16" customWidth="1" min="6" max="6"/>
    <col width="38" customWidth="1" min="7" max="7"/>
    <col width="14" customWidth="1" min="8" max="8"/>
  </cols>
  <sheetData>
    <row r="1">
      <c r="A1" s="1" t="inlineStr">
        <is>
          <t>TEST CASE</t>
        </is>
      </c>
    </row>
    <row r="2"/>
    <row r="4">
      <c r="A4" s="2" t="inlineStr">
        <is>
          <t>Project Name</t>
        </is>
      </c>
      <c r="B4" s="3" t="inlineStr">
        <is>
          <t>Quản Lý Nhà Hàng / Restaurant Management System</t>
        </is>
      </c>
    </row>
    <row r="5">
      <c r="A5" s="2" t="inlineStr">
        <is>
          <t>Project Code</t>
        </is>
      </c>
      <c r="B5" s="3" t="inlineStr">
        <is>
          <t>RMS-FLUTTER-NODE</t>
        </is>
      </c>
    </row>
    <row r="6">
      <c r="A6" s="2" t="inlineStr">
        <is>
          <t>Module</t>
        </is>
      </c>
      <c r="B6" s="3" t="inlineStr">
        <is>
          <t>Web - Bàn và gọi món / Web - Tables and Orders</t>
        </is>
      </c>
    </row>
    <row r="7">
      <c r="A7" s="2" t="inlineStr">
        <is>
          <t>Module Code</t>
        </is>
      </c>
      <c r="B7" s="3" t="inlineStr">
        <is>
          <t>WEB-TABLE</t>
        </is>
      </c>
    </row>
    <row r="8">
      <c r="A8" s="2" t="inlineStr">
        <is>
          <t>Version</t>
        </is>
      </c>
      <c r="B8" s="3" t="inlineStr">
        <is>
          <t>1.0</t>
        </is>
      </c>
    </row>
    <row r="9">
      <c r="A9" s="2" t="inlineStr">
        <is>
          <t>Issue date</t>
        </is>
      </c>
      <c r="B9" s="3" t="inlineStr">
        <is>
          <t>21/05/2026</t>
        </is>
      </c>
    </row>
    <row r="10">
      <c r="A10" s="2" t="inlineStr">
        <is>
          <t>Total test cases</t>
        </is>
      </c>
      <c r="B10" s="3" t="n">
        <v>14</v>
      </c>
    </row>
    <row r="11">
      <c r="A11" s="2" t="inlineStr">
        <is>
          <t>Language</t>
        </is>
      </c>
      <c r="B11" s="3" t="inlineStr">
        <is>
          <t>Tiếng Việt + English</t>
        </is>
      </c>
    </row>
    <row r="12">
      <c r="A12" s="2" t="inlineStr">
        <is>
          <t>Result policy</t>
        </is>
      </c>
      <c r="B12" s="3" t="inlineStr">
        <is>
          <t>Pass/Fail only for executed smoke checks; Pending means written but not executed manually.</t>
        </is>
      </c>
    </row>
    <row r="14">
      <c r="A14" s="4" t="inlineStr">
        <is>
          <t>Record of change / Lịch sử thay đổi</t>
        </is>
      </c>
    </row>
    <row r="15">
      <c r="A15" s="5" t="inlineStr">
        <is>
          <t>Version</t>
        </is>
      </c>
      <c r="B15" s="5" t="inlineStr">
        <is>
          <t>Date</t>
        </is>
      </c>
      <c r="C15" s="5" t="inlineStr">
        <is>
          <t>Author</t>
        </is>
      </c>
      <c r="D15" s="5" t="inlineStr">
        <is>
          <t>Change description</t>
        </is>
      </c>
      <c r="E15" s="5" t="inlineStr">
        <is>
          <t>Reviewer</t>
        </is>
      </c>
      <c r="F15" s="5" t="inlineStr">
        <is>
          <t>Status</t>
        </is>
      </c>
      <c r="G15" s="5" t="inlineStr">
        <is>
          <t>Note</t>
        </is>
      </c>
      <c r="H15" s="5" t="inlineStr"/>
    </row>
    <row r="16">
      <c r="A16" s="3" t="inlineStr">
        <is>
          <t>1.0</t>
        </is>
      </c>
      <c r="B16" s="3" t="inlineStr">
        <is>
          <t>21/05/2026</t>
        </is>
      </c>
      <c r="C16" s="3" t="inlineStr">
        <is>
          <t>Codex</t>
        </is>
      </c>
      <c r="D16" s="3" t="inlineStr">
        <is>
          <t>Create bilingual test cases for Web - Bàn và gọi món</t>
        </is>
      </c>
      <c r="E16" s="3" t="inlineStr"/>
      <c r="F16" s="3" t="inlineStr">
        <is>
          <t>Draft</t>
        </is>
      </c>
      <c r="G16" s="3" t="inlineStr">
        <is>
          <t>Kiểm tra quản lý bàn và gọi món trên website</t>
        </is>
      </c>
      <c r="H16" s="3" t="inlineStr"/>
    </row>
  </sheetData>
  <mergeCells count="2">
    <mergeCell ref="A1:H2"/>
    <mergeCell ref="A14:H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8" customWidth="1" min="3" max="3"/>
    <col width="34" customWidth="1" min="4" max="4"/>
    <col width="34" customWidth="1" min="5" max="5"/>
    <col width="34" customWidth="1" min="6" max="6"/>
    <col width="44" customWidth="1" min="7" max="7"/>
    <col width="44" customWidth="1" min="8" max="8"/>
    <col width="28" customWidth="1" min="9" max="9"/>
    <col width="38" customWidth="1" min="10" max="10"/>
    <col width="38" customWidth="1" min="11" max="11"/>
    <col width="14" customWidth="1" min="12" max="12"/>
    <col width="18" customWidth="1" min="13" max="13"/>
    <col width="38" customWidth="1" min="14" max="14"/>
    <col width="28" customWidth="1" min="15" max="15"/>
  </cols>
  <sheetData>
    <row r="1">
      <c r="A1" s="6" t="inlineStr">
        <is>
          <t>TEST CASE</t>
        </is>
      </c>
    </row>
    <row r="3">
      <c r="A3" s="7" t="inlineStr">
        <is>
          <t>System Name:</t>
        </is>
      </c>
      <c r="B3" s="3" t="inlineStr">
        <is>
          <t>Quản Lý Nhà Hàng / Restaurant Management System</t>
        </is>
      </c>
    </row>
    <row r="4">
      <c r="A4" s="7" t="inlineStr">
        <is>
          <t>Module Code:</t>
        </is>
      </c>
      <c r="B4" s="3" t="inlineStr">
        <is>
          <t>WEB-TABLE</t>
        </is>
      </c>
    </row>
    <row r="5">
      <c r="A5" s="7" t="inlineStr">
        <is>
          <t>Test requirement:</t>
        </is>
      </c>
      <c r="B5" s="3" t="inlineStr">
        <is>
          <t>Kiểm tra quản lý bàn và gọi món trên website</t>
        </is>
      </c>
    </row>
    <row r="6">
      <c r="A6" s="7" t="inlineStr">
        <is>
          <t>Pass</t>
        </is>
      </c>
      <c r="B6" s="3">
        <f>COUNTIF(M12:M500,"Pass*")</f>
        <v/>
      </c>
      <c r="C6" s="7" t="inlineStr">
        <is>
          <t>Pending</t>
        </is>
      </c>
      <c r="D6" s="3">
        <f>COUNTIF(M12:M500,"Pending*")</f>
        <v/>
      </c>
    </row>
    <row r="7">
      <c r="A7" s="7" t="inlineStr">
        <is>
          <t>Fail</t>
        </is>
      </c>
      <c r="B7" s="3">
        <f>COUNTIF(M12:M500,"Fail*")</f>
        <v/>
      </c>
      <c r="C7" s="7" t="inlineStr">
        <is>
          <t>Number of test cases:</t>
        </is>
      </c>
      <c r="D7" s="3">
        <f>COUNTA(A12:A500)</f>
        <v/>
      </c>
    </row>
    <row r="9">
      <c r="A9" s="8" t="inlineStr">
        <is>
          <t>ID</t>
        </is>
      </c>
      <c r="B9" s="8" t="inlineStr">
        <is>
          <t>Function / Chức năng</t>
        </is>
      </c>
      <c r="C9" s="8" t="inlineStr">
        <is>
          <t>Test location / Vị trí test</t>
        </is>
      </c>
      <c r="D9" s="8" t="inlineStr">
        <is>
          <t>Test Case Description (VI)</t>
        </is>
      </c>
      <c r="E9" s="8" t="inlineStr">
        <is>
          <t>Test Case Description (EN)</t>
        </is>
      </c>
      <c r="F9" s="8" t="inlineStr">
        <is>
          <t>Preconditions / Tiền điều kiện</t>
        </is>
      </c>
      <c r="G9" s="8" t="inlineStr">
        <is>
          <t>Test Case Procedure (VI)</t>
        </is>
      </c>
      <c r="H9" s="8" t="inlineStr">
        <is>
          <t>Test Case Procedure (EN)</t>
        </is>
      </c>
      <c r="I9" s="8" t="inlineStr">
        <is>
          <t>Test Data / Dữ liệu</t>
        </is>
      </c>
      <c r="J9" s="8" t="inlineStr">
        <is>
          <t>Expected Output (VI)</t>
        </is>
      </c>
      <c r="K9" s="8" t="inlineStr">
        <is>
          <t>Expected Output (EN)</t>
        </is>
      </c>
      <c r="L9" s="8" t="inlineStr">
        <is>
          <t>Test date</t>
        </is>
      </c>
      <c r="M9" s="8" t="inlineStr">
        <is>
          <t>Result / Kết quả</t>
        </is>
      </c>
      <c r="N9" s="8" t="inlineStr">
        <is>
          <t>Actual Result / Kết quả thực tế</t>
        </is>
      </c>
      <c r="O9" s="8" t="inlineStr">
        <is>
          <t>Note / Ghi chú</t>
        </is>
      </c>
    </row>
    <row r="12" ht="96" customHeight="1">
      <c r="A12" s="9" t="inlineStr">
        <is>
          <t>WEB-TABLE-001</t>
        </is>
      </c>
      <c r="B12" s="3" t="inlineStr">
        <is>
          <t>Bàn và gọi món web</t>
        </is>
      </c>
      <c r="C12" s="3" t="inlineStr">
        <is>
          <t>Web app &gt; Quản lý bàn/Gọi món</t>
        </is>
      </c>
      <c r="D12" s="3" t="inlineStr">
        <is>
          <t>Grid bàn web dùng nhiều cột trên desktop</t>
        </is>
      </c>
      <c r="E12" s="3" t="inlineStr">
        <is>
          <t>Web table grid uses multiple desktop columns</t>
        </is>
      </c>
      <c r="F12" s="3" t="inlineStr">
        <is>
          <t>Backend đang chạy cổng 3000; web build chạy tại http://127.0.0.1:8080 hoặc flutter run -d chrome; đăng nhập đúng vai trò.</t>
        </is>
      </c>
      <c r="G12" s="3" t="inlineStr">
        <is>
          <t>1. Mở vị trí test: Web app &gt; Quản lý bàn/Gọi món.
2. Thực hiện tình huống: Grid bàn web dùng nhiều cột trên desktop.
3. Kiểm tra giao diện, dữ liệu lưu trong hệ thống và phản hồi lỗi/thành công.</t>
        </is>
      </c>
      <c r="H12" s="3" t="inlineStr">
        <is>
          <t>1. Open test location: Web app &gt; Quản lý bàn/Gọi món.
2. Execute scenario: Web table grid uses multiple desktop columns.
3. Verify UI, saved data, and success/error response.</t>
        </is>
      </c>
      <c r="I12" s="3" t="inlineStr"/>
      <c r="J12" s="3" t="inlineStr">
        <is>
          <t>Bàn tận dụng chiều rộng desktop, không quá thưa hoặc quá hẹp.</t>
        </is>
      </c>
      <c r="K12" s="3" t="inlineStr">
        <is>
          <t>Tables use desktop width without being too sparse or cramped.</t>
        </is>
      </c>
      <c r="L12" s="9" t="inlineStr"/>
      <c r="M12" s="10" t="inlineStr">
        <is>
          <t>Pending / Chưa chạy</t>
        </is>
      </c>
      <c r="N12" s="3" t="inlineStr">
        <is>
          <t>Chưa chạy / Not executed</t>
        </is>
      </c>
      <c r="O12" s="3" t="inlineStr"/>
    </row>
    <row r="13" ht="96" customHeight="1">
      <c r="A13" s="9" t="inlineStr">
        <is>
          <t>WEB-TABLE-002</t>
        </is>
      </c>
      <c r="B13" s="3" t="inlineStr">
        <is>
          <t>Bàn và gọi món web</t>
        </is>
      </c>
      <c r="C13" s="3" t="inlineStr">
        <is>
          <t>Web app &gt; Quản lý bàn/Gọi món</t>
        </is>
      </c>
      <c r="D13" s="3" t="inlineStr">
        <is>
          <t>Nhấn bàn trên web mở gọi món đúng bàn</t>
        </is>
      </c>
      <c r="E13" s="3" t="inlineStr">
        <is>
          <t>Click table on web opens order entry for correct table</t>
        </is>
      </c>
      <c r="F13" s="3" t="inlineStr">
        <is>
          <t>Backend đang chạy cổng 3000; web build chạy tại http://127.0.0.1:8080 hoặc flutter run -d chrome; đăng nhập đúng vai trò.</t>
        </is>
      </c>
      <c r="G13" s="3" t="inlineStr">
        <is>
          <t>1. Mở vị trí test: Web app &gt; Quản lý bàn/Gọi món.
2. Thực hiện tình huống: Nhấn bàn trên web mở gọi món đúng bàn.
3. Kiểm tra giao diện, dữ liệu lưu trong hệ thống và phản hồi lỗi/thành công.</t>
        </is>
      </c>
      <c r="H13" s="3" t="inlineStr">
        <is>
          <t>1. Open test location: Web app &gt; Quản lý bàn/Gọi món.
2. Execute scenario: Click table on web opens order entry for correct table.
3. Verify UI, saved data, and success/error response.</t>
        </is>
      </c>
      <c r="I13" s="3" t="inlineStr"/>
      <c r="J13" s="3" t="inlineStr">
        <is>
          <t>Tên bàn trong app bar/order entry khớp bàn đã chọn.</t>
        </is>
      </c>
      <c r="K13" s="3" t="inlineStr">
        <is>
          <t>Table name in order entry matches selected table.</t>
        </is>
      </c>
      <c r="L13" s="9" t="inlineStr"/>
      <c r="M13" s="10" t="inlineStr">
        <is>
          <t>Pending / Chưa chạy</t>
        </is>
      </c>
      <c r="N13" s="3" t="inlineStr">
        <is>
          <t>Chưa chạy / Not executed</t>
        </is>
      </c>
      <c r="O13" s="3" t="inlineStr"/>
    </row>
    <row r="14" ht="96" customHeight="1">
      <c r="A14" s="9" t="inlineStr">
        <is>
          <t>WEB-TABLE-003</t>
        </is>
      </c>
      <c r="B14" s="3" t="inlineStr">
        <is>
          <t>Bàn và gọi món web</t>
        </is>
      </c>
      <c r="C14" s="3" t="inlineStr">
        <is>
          <t>Web app &gt; Quản lý bàn/Gọi món</t>
        </is>
      </c>
      <c r="D14" s="3" t="inlineStr">
        <is>
          <t>Nhấn giữ hoặc thao tác tương đương để sửa/xóa bàn trên web</t>
        </is>
      </c>
      <c r="E14" s="3" t="inlineStr">
        <is>
          <t>Long press or equivalent action edits/deletes table on web</t>
        </is>
      </c>
      <c r="F14" s="3" t="inlineStr">
        <is>
          <t>Backend đang chạy cổng 3000; web build chạy tại http://127.0.0.1:8080 hoặc flutter run -d chrome; đăng nhập đúng vai trò.</t>
        </is>
      </c>
      <c r="G14" s="3" t="inlineStr">
        <is>
          <t>1. Mở vị trí test: Web app &gt; Quản lý bàn/Gọi món.
2. Thực hiện tình huống: Nhấn giữ hoặc thao tác tương đương để sửa/xóa bàn trên web.
3. Kiểm tra giao diện, dữ liệu lưu trong hệ thống và phản hồi lỗi/thành công.</t>
        </is>
      </c>
      <c r="H14" s="3" t="inlineStr">
        <is>
          <t>1. Open test location: Web app &gt; Quản lý bàn/Gọi món.
2. Execute scenario: Long press or equivalent action edits/deletes table on web.
3. Verify UI, saved data, and success/error response.</t>
        </is>
      </c>
      <c r="I14" s="3" t="inlineStr"/>
      <c r="J14" s="3" t="inlineStr">
        <is>
          <t>Web có cách thao tác phù hợp chuột/touch để quản lý bàn.</t>
        </is>
      </c>
      <c r="K14" s="3" t="inlineStr">
        <is>
          <t>Web provides mouse/touch-friendly table management.</t>
        </is>
      </c>
      <c r="L14" s="9" t="inlineStr"/>
      <c r="M14" s="10" t="inlineStr">
        <is>
          <t>Pending / Chưa chạy</t>
        </is>
      </c>
      <c r="N14" s="3" t="inlineStr">
        <is>
          <t>Chưa chạy / Not executed</t>
        </is>
      </c>
      <c r="O14" s="3" t="inlineStr"/>
    </row>
    <row r="15" ht="96" customHeight="1">
      <c r="A15" s="9" t="inlineStr">
        <is>
          <t>WEB-TABLE-004</t>
        </is>
      </c>
      <c r="B15" s="3" t="inlineStr">
        <is>
          <t>Bàn và gọi món web</t>
        </is>
      </c>
      <c r="C15" s="3" t="inlineStr">
        <is>
          <t>Web app &gt; Quản lý bàn/Gọi món</t>
        </is>
      </c>
      <c r="D15" s="3" t="inlineStr">
        <is>
          <t>Thêm bàn trên desktop web</t>
        </is>
      </c>
      <c r="E15" s="3" t="inlineStr">
        <is>
          <t>Add table on desktop web</t>
        </is>
      </c>
      <c r="F15" s="3" t="inlineStr">
        <is>
          <t>Backend đang chạy cổng 3000; web build chạy tại http://127.0.0.1:8080 hoặc flutter run -d chrome; đăng nhập đúng vai trò.</t>
        </is>
      </c>
      <c r="G15" s="3" t="inlineStr">
        <is>
          <t>1. Mở vị trí test: Web app &gt; Quản lý bàn/Gọi món.
2. Thực hiện tình huống: Thêm bàn trên desktop web.
3. Kiểm tra giao diện, dữ liệu lưu trong hệ thống và phản hồi lỗi/thành công.</t>
        </is>
      </c>
      <c r="H15" s="3" t="inlineStr">
        <is>
          <t>1. Open test location: Web app &gt; Quản lý bàn/Gọi món.
2. Execute scenario: Add table on desktop web.
3. Verify UI, saved data, and success/error response.</t>
        </is>
      </c>
      <c r="I15" s="3" t="inlineStr"/>
      <c r="J15" s="3" t="inlineStr">
        <is>
          <t>Dialog/form không bị che, lưu xong grid refresh.</t>
        </is>
      </c>
      <c r="K15" s="3" t="inlineStr">
        <is>
          <t>Dialog/form is visible and grid refreshes after save.</t>
        </is>
      </c>
      <c r="L15" s="9" t="inlineStr"/>
      <c r="M15" s="10" t="inlineStr">
        <is>
          <t>Pending / Chưa chạy</t>
        </is>
      </c>
      <c r="N15" s="3" t="inlineStr">
        <is>
          <t>Chưa chạy / Not executed</t>
        </is>
      </c>
      <c r="O15" s="3" t="inlineStr"/>
    </row>
    <row r="16" ht="96" customHeight="1">
      <c r="A16" s="9" t="inlineStr">
        <is>
          <t>WEB-TABLE-005</t>
        </is>
      </c>
      <c r="B16" s="3" t="inlineStr">
        <is>
          <t>Bàn và gọi món web</t>
        </is>
      </c>
      <c r="C16" s="3" t="inlineStr">
        <is>
          <t>Web app &gt; Quản lý bàn/Gọi món</t>
        </is>
      </c>
      <c r="D16" s="3" t="inlineStr">
        <is>
          <t>Sửa bàn trên web</t>
        </is>
      </c>
      <c r="E16" s="3" t="inlineStr">
        <is>
          <t>Edit table on web</t>
        </is>
      </c>
      <c r="F16" s="3" t="inlineStr">
        <is>
          <t>Backend đang chạy cổng 3000; web build chạy tại http://127.0.0.1:8080 hoặc flutter run -d chrome; đăng nhập đúng vai trò.</t>
        </is>
      </c>
      <c r="G16" s="3" t="inlineStr">
        <is>
          <t>1. Mở vị trí test: Web app &gt; Quản lý bàn/Gọi món.
2. Thực hiện tình huống: Sửa bàn trên web.
3. Kiểm tra giao diện, dữ liệu lưu trong hệ thống và phản hồi lỗi/thành công.</t>
        </is>
      </c>
      <c r="H16" s="3" t="inlineStr">
        <is>
          <t>1. Open test location: Web app &gt; Quản lý bàn/Gọi món.
2. Execute scenario: Edit table on web.
3. Verify UI, saved data, and success/error response.</t>
        </is>
      </c>
      <c r="I16" s="3" t="inlineStr"/>
      <c r="J16" s="3" t="inlineStr">
        <is>
          <t>Thông tin cập nhật ngay trong grid.</t>
        </is>
      </c>
      <c r="K16" s="3" t="inlineStr">
        <is>
          <t>Updated table info appears immediately in grid.</t>
        </is>
      </c>
      <c r="L16" s="9" t="inlineStr"/>
      <c r="M16" s="10" t="inlineStr">
        <is>
          <t>Pending / Chưa chạy</t>
        </is>
      </c>
      <c r="N16" s="3" t="inlineStr">
        <is>
          <t>Chưa chạy / Not executed</t>
        </is>
      </c>
      <c r="O16" s="3" t="inlineStr"/>
    </row>
    <row r="17" ht="96" customHeight="1">
      <c r="A17" s="9" t="inlineStr">
        <is>
          <t>WEB-TABLE-006</t>
        </is>
      </c>
      <c r="B17" s="3" t="inlineStr">
        <is>
          <t>Bàn và gọi món web</t>
        </is>
      </c>
      <c r="C17" s="3" t="inlineStr">
        <is>
          <t>Web app &gt; Quản lý bàn/Gọi món</t>
        </is>
      </c>
      <c r="D17" s="3" t="inlineStr">
        <is>
          <t>Xóa bàn trên web</t>
        </is>
      </c>
      <c r="E17" s="3" t="inlineStr">
        <is>
          <t>Delete table on web</t>
        </is>
      </c>
      <c r="F17" s="3" t="inlineStr">
        <is>
          <t>Backend đang chạy cổng 3000; web build chạy tại http://127.0.0.1:8080 hoặc flutter run -d chrome; đăng nhập đúng vai trò.</t>
        </is>
      </c>
      <c r="G17" s="3" t="inlineStr">
        <is>
          <t>1. Mở vị trí test: Web app &gt; Quản lý bàn/Gọi món.
2. Thực hiện tình huống: Xóa bàn trên web.
3. Kiểm tra giao diện, dữ liệu lưu trong hệ thống và phản hồi lỗi/thành công.</t>
        </is>
      </c>
      <c r="H17" s="3" t="inlineStr">
        <is>
          <t>1. Open test location: Web app &gt; Quản lý bàn/Gọi món.
2. Execute scenario: Delete table on web.
3. Verify UI, saved data, and success/error response.</t>
        </is>
      </c>
      <c r="I17" s="3" t="inlineStr"/>
      <c r="J17" s="3" t="inlineStr">
        <is>
          <t>Bàn bị xóa và các chỉ số dashboard cập nhật.</t>
        </is>
      </c>
      <c r="K17" s="3" t="inlineStr">
        <is>
          <t>Table is deleted and dashboard metrics update.</t>
        </is>
      </c>
      <c r="L17" s="9" t="inlineStr"/>
      <c r="M17" s="10" t="inlineStr">
        <is>
          <t>Pending / Chưa chạy</t>
        </is>
      </c>
      <c r="N17" s="3" t="inlineStr">
        <is>
          <t>Chưa chạy / Not executed</t>
        </is>
      </c>
      <c r="O17" s="3" t="inlineStr"/>
    </row>
    <row r="18" ht="96" customHeight="1">
      <c r="A18" s="9" t="inlineStr">
        <is>
          <t>WEB-TABLE-007</t>
        </is>
      </c>
      <c r="B18" s="3" t="inlineStr">
        <is>
          <t>Bàn và gọi món web</t>
        </is>
      </c>
      <c r="C18" s="3" t="inlineStr">
        <is>
          <t>Web app &gt; Quản lý bàn/Gọi món</t>
        </is>
      </c>
      <c r="D18" s="3" t="inlineStr">
        <is>
          <t>Thêm món bằng dấu cộng trên web</t>
        </is>
      </c>
      <c r="E18" s="3" t="inlineStr">
        <is>
          <t>Add item with plus button on web</t>
        </is>
      </c>
      <c r="F18" s="3" t="inlineStr">
        <is>
          <t>Backend đang chạy cổng 3000; web build chạy tại http://127.0.0.1:8080 hoặc flutter run -d chrome; đăng nhập đúng vai trò.</t>
        </is>
      </c>
      <c r="G18" s="3" t="inlineStr">
        <is>
          <t>1. Mở vị trí test: Web app &gt; Quản lý bàn/Gọi món.
2. Thực hiện tình huống: Thêm món bằng dấu cộng trên web.
3. Kiểm tra giao diện, dữ liệu lưu trong hệ thống và phản hồi lỗi/thành công.</t>
        </is>
      </c>
      <c r="H18" s="3" t="inlineStr">
        <is>
          <t>1. Open test location: Web app &gt; Quản lý bàn/Gọi món.
2. Execute scenario: Add item with plus button on web.
3. Verify UI, saved data, and success/error response.</t>
        </is>
      </c>
      <c r="I18" s="3" t="inlineStr"/>
      <c r="J18" s="3" t="inlineStr">
        <is>
          <t>Hóa đơn tạo/cập nhật giống mobile.</t>
        </is>
      </c>
      <c r="K18" s="3" t="inlineStr">
        <is>
          <t>Invoice is created/updated like mobile.</t>
        </is>
      </c>
      <c r="L18" s="9" t="inlineStr"/>
      <c r="M18" s="10" t="inlineStr">
        <is>
          <t>Pending / Chưa chạy</t>
        </is>
      </c>
      <c r="N18" s="3" t="inlineStr">
        <is>
          <t>Chưa chạy / Not executed</t>
        </is>
      </c>
      <c r="O18" s="3" t="inlineStr"/>
    </row>
    <row r="19" ht="96" customHeight="1">
      <c r="A19" s="9" t="inlineStr">
        <is>
          <t>WEB-TABLE-008</t>
        </is>
      </c>
      <c r="B19" s="3" t="inlineStr">
        <is>
          <t>Bàn và gọi món web</t>
        </is>
      </c>
      <c r="C19" s="3" t="inlineStr">
        <is>
          <t>Web app &gt; Quản lý bàn/Gọi món</t>
        </is>
      </c>
      <c r="D19" s="3" t="inlineStr">
        <is>
          <t>Danh sách món web có ảnh và fallback</t>
        </is>
      </c>
      <c r="E19" s="3" t="inlineStr">
        <is>
          <t>Web menu list has images and fallback</t>
        </is>
      </c>
      <c r="F19" s="3" t="inlineStr">
        <is>
          <t>Backend đang chạy cổng 3000; web build chạy tại http://127.0.0.1:8080 hoặc flutter run -d chrome; đăng nhập đúng vai trò.</t>
        </is>
      </c>
      <c r="G19" s="3" t="inlineStr">
        <is>
          <t>1. Mở vị trí test: Web app &gt; Quản lý bàn/Gọi món.
2. Thực hiện tình huống: Danh sách món web có ảnh và fallback.
3. Kiểm tra giao diện, dữ liệu lưu trong hệ thống và phản hồi lỗi/thành công.</t>
        </is>
      </c>
      <c r="H19" s="3" t="inlineStr">
        <is>
          <t>1. Open test location: Web app &gt; Quản lý bàn/Gọi món.
2. Execute scenario: Web menu list has images and fallback.
3. Verify UI, saved data, and success/error response.</t>
        </is>
      </c>
      <c r="I19" s="3" t="inlineStr"/>
      <c r="J19" s="3" t="inlineStr">
        <is>
          <t>Ảnh tải đẹp, lỗi ảnh không vỡ layout.</t>
        </is>
      </c>
      <c r="K19" s="3" t="inlineStr">
        <is>
          <t>Images render nicely and failures do not break layout.</t>
        </is>
      </c>
      <c r="L19" s="9" t="inlineStr"/>
      <c r="M19" s="10" t="inlineStr">
        <is>
          <t>Pending / Chưa chạy</t>
        </is>
      </c>
      <c r="N19" s="3" t="inlineStr">
        <is>
          <t>Chưa chạy / Not executed</t>
        </is>
      </c>
      <c r="O19" s="3" t="inlineStr"/>
    </row>
    <row r="20" ht="96" customHeight="1">
      <c r="A20" s="9" t="inlineStr">
        <is>
          <t>WEB-TABLE-009</t>
        </is>
      </c>
      <c r="B20" s="3" t="inlineStr">
        <is>
          <t>Bàn và gọi món web</t>
        </is>
      </c>
      <c r="C20" s="3" t="inlineStr">
        <is>
          <t>Web app &gt; Quản lý bàn/Gọi món</t>
        </is>
      </c>
      <c r="D20" s="3" t="inlineStr">
        <is>
          <t>Số lượng món cập nhật liên tục trên web</t>
        </is>
      </c>
      <c r="E20" s="3" t="inlineStr">
        <is>
          <t>Item quantity updates repeatedly on web</t>
        </is>
      </c>
      <c r="F20" s="3" t="inlineStr">
        <is>
          <t>Backend đang chạy cổng 3000; web build chạy tại http://127.0.0.1:8080 hoặc flutter run -d chrome; đăng nhập đúng vai trò.</t>
        </is>
      </c>
      <c r="G20" s="3" t="inlineStr">
        <is>
          <t>1. Mở vị trí test: Web app &gt; Quản lý bàn/Gọi món.
2. Thực hiện tình huống: Số lượng món cập nhật liên tục trên web.
3. Kiểm tra giao diện, dữ liệu lưu trong hệ thống và phản hồi lỗi/thành công.</t>
        </is>
      </c>
      <c r="H20" s="3" t="inlineStr">
        <is>
          <t>1. Open test location: Web app &gt; Quản lý bàn/Gọi món.
2. Execute scenario: Item quantity updates repeatedly on web.
3. Verify UI, saved data, and success/error response.</t>
        </is>
      </c>
      <c r="I20" s="3" t="inlineStr"/>
      <c r="J20" s="3" t="inlineStr">
        <is>
          <t>Không double-submit ngoài ý muốn, tổng tiền đúng.</t>
        </is>
      </c>
      <c r="K20" s="3" t="inlineStr">
        <is>
          <t>No unintended double-submit and total is correct.</t>
        </is>
      </c>
      <c r="L20" s="9" t="inlineStr"/>
      <c r="M20" s="10" t="inlineStr">
        <is>
          <t>Pending / Chưa chạy</t>
        </is>
      </c>
      <c r="N20" s="3" t="inlineStr">
        <is>
          <t>Chưa chạy / Not executed</t>
        </is>
      </c>
      <c r="O20" s="3" t="inlineStr"/>
    </row>
    <row r="21" ht="96" customHeight="1">
      <c r="A21" s="9" t="inlineStr">
        <is>
          <t>WEB-TABLE-010</t>
        </is>
      </c>
      <c r="B21" s="3" t="inlineStr">
        <is>
          <t>Bàn và gọi món web</t>
        </is>
      </c>
      <c r="C21" s="3" t="inlineStr">
        <is>
          <t>Web app &gt; Quản lý bàn/Gọi món</t>
        </is>
      </c>
      <c r="D21" s="3" t="inlineStr">
        <is>
          <t>Web refresh sau khi tạo hóa đơn</t>
        </is>
      </c>
      <c r="E21" s="3" t="inlineStr">
        <is>
          <t>Web refresh after creating invoice</t>
        </is>
      </c>
      <c r="F21" s="3" t="inlineStr">
        <is>
          <t>Backend đang chạy cổng 3000; web build chạy tại http://127.0.0.1:8080 hoặc flutter run -d chrome; đăng nhập đúng vai trò.</t>
        </is>
      </c>
      <c r="G21" s="3" t="inlineStr">
        <is>
          <t>1. Mở vị trí test: Web app &gt; Quản lý bàn/Gọi món.
2. Thực hiện tình huống: Web refresh sau khi tạo hóa đơn.
3. Kiểm tra giao diện, dữ liệu lưu trong hệ thống và phản hồi lỗi/thành công.</t>
        </is>
      </c>
      <c r="H21" s="3" t="inlineStr">
        <is>
          <t>1. Open test location: Web app &gt; Quản lý bàn/Gọi món.
2. Execute scenario: Web refresh after creating invoice.
3. Verify UI, saved data, and success/error response.</t>
        </is>
      </c>
      <c r="I21" s="3" t="inlineStr"/>
      <c r="J21" s="3" t="inlineStr">
        <is>
          <t>Đơn open vẫn còn và bàn đúng trạng thái.</t>
        </is>
      </c>
      <c r="K21" s="3" t="inlineStr">
        <is>
          <t>Open order persists and table status is correct.</t>
        </is>
      </c>
      <c r="L21" s="9" t="inlineStr"/>
      <c r="M21" s="10" t="inlineStr">
        <is>
          <t>Pending / Chưa chạy</t>
        </is>
      </c>
      <c r="N21" s="3" t="inlineStr">
        <is>
          <t>Chưa chạy / Not executed</t>
        </is>
      </c>
      <c r="O21" s="3" t="inlineStr"/>
    </row>
    <row r="22" ht="96" customHeight="1">
      <c r="A22" s="9" t="inlineStr">
        <is>
          <t>WEB-TABLE-011</t>
        </is>
      </c>
      <c r="B22" s="3" t="inlineStr">
        <is>
          <t>Bàn và gọi món web</t>
        </is>
      </c>
      <c r="C22" s="3" t="inlineStr">
        <is>
          <t>Web app &gt; Quản lý bàn/Gọi món</t>
        </is>
      </c>
      <c r="D22" s="3" t="inlineStr">
        <is>
          <t>Hai tab trình duyệt cùng thao tác một bàn</t>
        </is>
      </c>
      <c r="E22" s="3" t="inlineStr">
        <is>
          <t>Two browser tabs operate on same table</t>
        </is>
      </c>
      <c r="F22" s="3" t="inlineStr">
        <is>
          <t>Backend đang chạy cổng 3000; web build chạy tại http://127.0.0.1:8080 hoặc flutter run -d chrome; đăng nhập đúng vai trò.</t>
        </is>
      </c>
      <c r="G22" s="3" t="inlineStr">
        <is>
          <t>1. Mở vị trí test: Web app &gt; Quản lý bàn/Gọi món.
2. Thực hiện tình huống: Hai tab trình duyệt cùng thao tác một bàn.
3. Kiểm tra giao diện, dữ liệu lưu trong hệ thống và phản hồi lỗi/thành công.</t>
        </is>
      </c>
      <c r="H22" s="3" t="inlineStr">
        <is>
          <t>1. Open test location: Web app &gt; Quản lý bàn/Gọi món.
2. Execute scenario: Two browser tabs operate on same table.
3. Verify UI, saved data, and success/error response.</t>
        </is>
      </c>
      <c r="I22" s="3" t="inlineStr"/>
      <c r="J22" s="3" t="inlineStr">
        <is>
          <t>Dữ liệu cuối cùng nhất quán, không tạo đơn trùng.</t>
        </is>
      </c>
      <c r="K22" s="3" t="inlineStr">
        <is>
          <t>Final data stays consistent without duplicate open orders.</t>
        </is>
      </c>
      <c r="L22" s="9" t="inlineStr"/>
      <c r="M22" s="10" t="inlineStr">
        <is>
          <t>Pending / Chưa chạy</t>
        </is>
      </c>
      <c r="N22" s="3" t="inlineStr">
        <is>
          <t>Chưa chạy / Not executed</t>
        </is>
      </c>
      <c r="O22" s="3" t="inlineStr"/>
    </row>
    <row r="23" ht="96" customHeight="1">
      <c r="A23" s="9" t="inlineStr">
        <is>
          <t>WEB-TABLE-012</t>
        </is>
      </c>
      <c r="B23" s="3" t="inlineStr">
        <is>
          <t>Bàn và gọi món web</t>
        </is>
      </c>
      <c r="C23" s="3" t="inlineStr">
        <is>
          <t>Web app &gt; Quản lý bàn/Gọi món</t>
        </is>
      </c>
      <c r="D23" s="3" t="inlineStr">
        <is>
          <t>Bố cục gọi món ở màn hình hẹp</t>
        </is>
      </c>
      <c r="E23" s="3" t="inlineStr">
        <is>
          <t>Order-entry layout on narrow browser width</t>
        </is>
      </c>
      <c r="F23" s="3" t="inlineStr">
        <is>
          <t>Backend đang chạy cổng 3000; web build chạy tại http://127.0.0.1:8080 hoặc flutter run -d chrome; đăng nhập đúng vai trò.</t>
        </is>
      </c>
      <c r="G23" s="3" t="inlineStr">
        <is>
          <t>1. Mở vị trí test: Web app &gt; Quản lý bàn/Gọi món.
2. Thực hiện tình huống: Bố cục gọi món ở màn hình hẹp.
3. Kiểm tra giao diện, dữ liệu lưu trong hệ thống và phản hồi lỗi/thành công.</t>
        </is>
      </c>
      <c r="H23" s="3" t="inlineStr">
        <is>
          <t>1. Open test location: Web app &gt; Quản lý bàn/Gọi món.
2. Execute scenario: Order-entry layout on narrow browser width.
3. Verify UI, saved data, and success/error response.</t>
        </is>
      </c>
      <c r="I23" s="3" t="inlineStr"/>
      <c r="J23" s="3" t="inlineStr">
        <is>
          <t>Nút cộng/trừ và tổng tiền không chồng nhau.</t>
        </is>
      </c>
      <c r="K23" s="3" t="inlineStr">
        <is>
          <t>Plus/minus buttons and total do not overlap.</t>
        </is>
      </c>
      <c r="L23" s="9" t="inlineStr"/>
      <c r="M23" s="10" t="inlineStr">
        <is>
          <t>Pending / Chưa chạy</t>
        </is>
      </c>
      <c r="N23" s="3" t="inlineStr">
        <is>
          <t>Chưa chạy / Not executed</t>
        </is>
      </c>
      <c r="O23" s="3" t="inlineStr"/>
    </row>
    <row r="24" ht="96" customHeight="1">
      <c r="A24" s="9" t="inlineStr">
        <is>
          <t>WEB-TABLE-013</t>
        </is>
      </c>
      <c r="B24" s="3" t="inlineStr">
        <is>
          <t>Bàn và gọi món web</t>
        </is>
      </c>
      <c r="C24" s="3" t="inlineStr">
        <is>
          <t>Web app &gt; Quản lý bàn/Gọi món</t>
        </is>
      </c>
      <c r="D24" s="3" t="inlineStr">
        <is>
          <t>Tốc độ tải danh sách nhiều món</t>
        </is>
      </c>
      <c r="E24" s="3" t="inlineStr">
        <is>
          <t>Performance with many menu items</t>
        </is>
      </c>
      <c r="F24" s="3" t="inlineStr">
        <is>
          <t>Backend đang chạy cổng 3000; web build chạy tại http://127.0.0.1:8080 hoặc flutter run -d chrome; đăng nhập đúng vai trò.</t>
        </is>
      </c>
      <c r="G24" s="3" t="inlineStr">
        <is>
          <t>1. Mở vị trí test: Web app &gt; Quản lý bàn/Gọi món.
2. Thực hiện tình huống: Tốc độ tải danh sách nhiều món.
3. Kiểm tra giao diện, dữ liệu lưu trong hệ thống và phản hồi lỗi/thành công.</t>
        </is>
      </c>
      <c r="H24" s="3" t="inlineStr">
        <is>
          <t>1. Open test location: Web app &gt; Quản lý bàn/Gọi món.
2. Execute scenario: Performance with many menu items.
3. Verify UI, saved data, and success/error response.</t>
        </is>
      </c>
      <c r="I24" s="3" t="inlineStr"/>
      <c r="J24" s="3" t="inlineStr">
        <is>
          <t>Danh sách vẫn cuộn và thao tác được trong ngưỡng chấp nhận.</t>
        </is>
      </c>
      <c r="K24" s="3" t="inlineStr">
        <is>
          <t>List remains scrollable and usable within acceptable performance.</t>
        </is>
      </c>
      <c r="L24" s="9" t="inlineStr"/>
      <c r="M24" s="10" t="inlineStr">
        <is>
          <t>Pending / Chưa chạy</t>
        </is>
      </c>
      <c r="N24" s="3" t="inlineStr">
        <is>
          <t>Chưa chạy / Not executed</t>
        </is>
      </c>
      <c r="O24" s="3" t="inlineStr"/>
    </row>
    <row r="25" ht="96" customHeight="1">
      <c r="A25" s="9" t="inlineStr">
        <is>
          <t>WEB-TABLE-014</t>
        </is>
      </c>
      <c r="B25" s="3" t="inlineStr">
        <is>
          <t>Bàn và gọi món web</t>
        </is>
      </c>
      <c r="C25" s="3" t="inlineStr">
        <is>
          <t>Web app &gt; Quản lý bàn/Gọi món</t>
        </is>
      </c>
      <c r="D25" s="3" t="inlineStr">
        <is>
          <t>Thông báo lỗi API khi lưu bàn web</t>
        </is>
      </c>
      <c r="E25" s="3" t="inlineStr">
        <is>
          <t>API error notification when saving table on web</t>
        </is>
      </c>
      <c r="F25" s="3" t="inlineStr">
        <is>
          <t>Backend đang chạy cổng 3000; web build chạy tại http://127.0.0.1:8080 hoặc flutter run -d chrome; đăng nhập đúng vai trò.</t>
        </is>
      </c>
      <c r="G25" s="3" t="inlineStr">
        <is>
          <t>1. Mở vị trí test: Web app &gt; Quản lý bàn/Gọi món.
2. Thực hiện tình huống: Thông báo lỗi API khi lưu bàn web.
3. Kiểm tra giao diện, dữ liệu lưu trong hệ thống và phản hồi lỗi/thành công.</t>
        </is>
      </c>
      <c r="H25" s="3" t="inlineStr">
        <is>
          <t>1. Open test location: Web app &gt; Quản lý bàn/Gọi món.
2. Execute scenario: API error notification when saving table on web.
3. Verify UI, saved data, and success/error response.</t>
        </is>
      </c>
      <c r="I25" s="3" t="inlineStr"/>
      <c r="J25" s="3" t="inlineStr">
        <is>
          <t>Web hiển thị snackbar/dialog lỗi và giữ dữ liệu người nhập.</t>
        </is>
      </c>
      <c r="K25" s="3" t="inlineStr">
        <is>
          <t>Web shows error and preserves user input.</t>
        </is>
      </c>
      <c r="L25" s="9" t="inlineStr"/>
      <c r="M25" s="10" t="inlineStr">
        <is>
          <t>Pending / Chưa chạy</t>
        </is>
      </c>
      <c r="N25" s="3" t="inlineStr">
        <is>
          <t>Chưa chạy / Not executed</t>
        </is>
      </c>
      <c r="O25" s="3" t="inlineStr"/>
    </row>
  </sheetData>
  <autoFilter ref="A9:O25"/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52" customWidth="1" min="3" max="3"/>
    <col width="28" customWidth="1" min="4" max="4"/>
    <col width="16" customWidth="1" min="5" max="5"/>
    <col width="14" customWidth="1" min="6" max="6"/>
    <col width="28" customWidth="1" min="7" max="7"/>
  </cols>
  <sheetData>
    <row r="1">
      <c r="A1" s="6" t="inlineStr">
        <is>
          <t>TEST REPORT</t>
        </is>
      </c>
    </row>
    <row r="3">
      <c r="A3" s="7" t="inlineStr">
        <is>
          <t>System Name</t>
        </is>
      </c>
      <c r="B3" s="3" t="inlineStr">
        <is>
          <t>Quản Lý Nhà Hàng / Restaurant Management System</t>
        </is>
      </c>
    </row>
    <row r="4">
      <c r="A4" s="7" t="inlineStr">
        <is>
          <t>Module</t>
        </is>
      </c>
      <c r="B4" s="3" t="inlineStr">
        <is>
          <t>Web - Bàn và gọi món / Web - Tables and Orders</t>
        </is>
      </c>
    </row>
    <row r="5">
      <c r="A5" s="7" t="inlineStr">
        <is>
          <t>Module Code</t>
        </is>
      </c>
      <c r="B5" s="3" t="inlineStr">
        <is>
          <t>WEB-TABLE</t>
        </is>
      </c>
    </row>
    <row r="6">
      <c r="A6" s="7" t="inlineStr">
        <is>
          <t>Issue date</t>
        </is>
      </c>
      <c r="B6" s="3" t="inlineStr">
        <is>
          <t>21/05/2026</t>
        </is>
      </c>
    </row>
    <row r="7">
      <c r="A7" s="7" t="inlineStr">
        <is>
          <t>Total test cases</t>
        </is>
      </c>
      <c r="B7" s="3" t="n">
        <v>14</v>
      </c>
    </row>
    <row r="10">
      <c r="A10" s="8" t="inlineStr">
        <is>
          <t>Result</t>
        </is>
      </c>
      <c r="B10" s="8" t="inlineStr">
        <is>
          <t>Count</t>
        </is>
      </c>
      <c r="C10" s="8" t="inlineStr">
        <is>
          <t>Meaning / Ý nghĩa</t>
        </is>
      </c>
      <c r="D10" s="8" t="inlineStr">
        <is>
          <t>Scope</t>
        </is>
      </c>
      <c r="E10" s="8" t="inlineStr">
        <is>
          <t>Owner</t>
        </is>
      </c>
      <c r="F10" s="8" t="inlineStr">
        <is>
          <t>Date</t>
        </is>
      </c>
      <c r="G10" s="8" t="inlineStr">
        <is>
          <t>Note</t>
        </is>
      </c>
    </row>
    <row r="11">
      <c r="A11" s="11" t="inlineStr">
        <is>
          <t>Pass / Đạt</t>
        </is>
      </c>
      <c r="B11" s="3">
        <f>COUNTIF('Test Cases'!M12:M500,"Pass*")</f>
        <v/>
      </c>
      <c r="C11" s="3" t="inlineStr">
        <is>
          <t>Executed and matched expected result / Đã chạy và đúng mong đợi</t>
        </is>
      </c>
      <c r="D11" s="3" t="inlineStr">
        <is>
          <t>Web - Bàn và gọi món</t>
        </is>
      </c>
      <c r="E11" s="3" t="inlineStr">
        <is>
          <t>QA / Dev</t>
        </is>
      </c>
      <c r="F11" s="3" t="inlineStr">
        <is>
          <t>21/05/2026</t>
        </is>
      </c>
      <c r="G11" s="3" t="inlineStr"/>
    </row>
    <row r="12">
      <c r="A12" s="12" t="inlineStr">
        <is>
          <t>Fail / Không đạt</t>
        </is>
      </c>
      <c r="B12" s="3">
        <f>COUNTIF('Test Cases'!M12:M500,"Fail*")</f>
        <v/>
      </c>
      <c r="C12" s="3" t="inlineStr">
        <is>
          <t>Executed but did not match expected result / Đã chạy nhưng sai mong đợi</t>
        </is>
      </c>
      <c r="D12" s="3" t="inlineStr">
        <is>
          <t>Web - Bàn và gọi món</t>
        </is>
      </c>
      <c r="E12" s="3" t="inlineStr">
        <is>
          <t>QA / Dev</t>
        </is>
      </c>
      <c r="F12" s="3" t="inlineStr">
        <is>
          <t>21/05/2026</t>
        </is>
      </c>
      <c r="G12" s="3" t="inlineStr"/>
    </row>
    <row r="13">
      <c r="A13" s="13" t="inlineStr">
        <is>
          <t>Pending / Chưa chạy</t>
        </is>
      </c>
      <c r="B13" s="3">
        <f>COUNTIF('Test Cases'!M12:M500,"Pending*")</f>
        <v/>
      </c>
      <c r="C13" s="3" t="inlineStr">
        <is>
          <t>Written but not yet executed manually / Đã viết, chưa chạy thủ công</t>
        </is>
      </c>
      <c r="D13" s="3" t="inlineStr">
        <is>
          <t>Web - Bàn và gọi món</t>
        </is>
      </c>
      <c r="E13" s="3" t="inlineStr">
        <is>
          <t>QA / Dev</t>
        </is>
      </c>
      <c r="F13" s="3" t="inlineStr">
        <is>
          <t>21/05/2026</t>
        </is>
      </c>
      <c r="G13" s="3" t="inlineStr"/>
    </row>
    <row r="14">
      <c r="A14" s="3" t="inlineStr">
        <is>
          <t>Number of test cases</t>
        </is>
      </c>
      <c r="B14" s="3">
        <f>COUNTA('Test Cases'!A12:A500)</f>
        <v/>
      </c>
      <c r="C14" s="3" t="inlineStr">
        <is>
          <t>Total case rows / Tổng số dòng case</t>
        </is>
      </c>
      <c r="D14" s="3" t="inlineStr">
        <is>
          <t>Web - Bàn và gọi món</t>
        </is>
      </c>
      <c r="E14" s="3" t="inlineStr">
        <is>
          <t>QA / Dev</t>
        </is>
      </c>
      <c r="F14" s="3" t="inlineStr">
        <is>
          <t>21/05/2026</t>
        </is>
      </c>
      <c r="G14" s="3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2026-05-21T11:33:23Z</dcterms:created>
  <dcterms:modified xmlns:dcterms="http://purl.org/dc/terms/" xmlns:xsi="http://www.w3.org/2001/XMLSchema-instance" xsi:type="dcterms:W3CDTF">2026-05-21T11:33:23Z</dcterms:modified>
</cp:coreProperties>
</file>