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Test Report" sheetId="3" state="visible" r:id="rId3"/>
  </sheets>
  <definedNames>
    <definedName name="_xlnm._FilterDatabase" localSheetId="1" hidden="1">'Test Cases'!$A$9:$O$27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22"/>
    </font>
    <font>
      <b val="1"/>
    </font>
    <font>
      <b val="1"/>
      <color rgb="00FFFFFF"/>
    </font>
    <font>
      <b val="1"/>
      <color rgb="00FFFFFF"/>
      <sz val="18"/>
    </font>
  </fonts>
  <fills count="8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EAF4FF"/>
      </patternFill>
    </fill>
    <fill>
      <patternFill patternType="solid">
        <fgColor rgb="00D9EAF7"/>
      </patternFill>
    </fill>
    <fill>
      <patternFill patternType="solid">
        <fgColor rgb="00FEF3C7"/>
      </patternFill>
    </fill>
    <fill>
      <patternFill patternType="solid">
        <fgColor rgb="00DCFCE7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0" borderId="1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18" customWidth="1" min="3" max="3"/>
    <col width="44" customWidth="1" min="4" max="4"/>
    <col width="18" customWidth="1" min="5" max="5"/>
    <col width="16" customWidth="1" min="6" max="6"/>
    <col width="38" customWidth="1" min="7" max="7"/>
    <col width="14" customWidth="1" min="8" max="8"/>
  </cols>
  <sheetData>
    <row r="1">
      <c r="A1" s="1" t="inlineStr">
        <is>
          <t>TEST CASE</t>
        </is>
      </c>
    </row>
    <row r="2"/>
    <row r="4">
      <c r="A4" s="2" t="inlineStr">
        <is>
          <t>Project Name</t>
        </is>
      </c>
      <c r="B4" s="3" t="inlineStr">
        <is>
          <t>Quản Lý Nhà Hàng / Restaurant Management System</t>
        </is>
      </c>
    </row>
    <row r="5">
      <c r="A5" s="2" t="inlineStr">
        <is>
          <t>Project Code</t>
        </is>
      </c>
      <c r="B5" s="3" t="inlineStr">
        <is>
          <t>RMS-FLUTTER-NODE</t>
        </is>
      </c>
    </row>
    <row r="6">
      <c r="A6" s="2" t="inlineStr">
        <is>
          <t>Module</t>
        </is>
      </c>
      <c r="B6" s="3" t="inlineStr">
        <is>
          <t>API - Bàn và món ăn / API - Tables and Menu</t>
        </is>
      </c>
    </row>
    <row r="7">
      <c r="A7" s="2" t="inlineStr">
        <is>
          <t>Module Code</t>
        </is>
      </c>
      <c r="B7" s="3" t="inlineStr">
        <is>
          <t>API-CATALOG</t>
        </is>
      </c>
    </row>
    <row r="8">
      <c r="A8" s="2" t="inlineStr">
        <is>
          <t>Version</t>
        </is>
      </c>
      <c r="B8" s="3" t="inlineStr">
        <is>
          <t>1.0</t>
        </is>
      </c>
    </row>
    <row r="9">
      <c r="A9" s="2" t="inlineStr">
        <is>
          <t>Issue date</t>
        </is>
      </c>
      <c r="B9" s="3" t="inlineStr">
        <is>
          <t>21/05/2026</t>
        </is>
      </c>
    </row>
    <row r="10">
      <c r="A10" s="2" t="inlineStr">
        <is>
          <t>Total test cases</t>
        </is>
      </c>
      <c r="B10" s="3" t="n">
        <v>16</v>
      </c>
    </row>
    <row r="11">
      <c r="A11" s="2" t="inlineStr">
        <is>
          <t>Language</t>
        </is>
      </c>
      <c r="B11" s="3" t="inlineStr">
        <is>
          <t>Tiếng Việt + English</t>
        </is>
      </c>
    </row>
    <row r="12">
      <c r="A12" s="2" t="inlineStr">
        <is>
          <t>Result policy</t>
        </is>
      </c>
      <c r="B12" s="3" t="inlineStr">
        <is>
          <t>Pass/Fail only for executed smoke checks; Pending means written but not executed manually.</t>
        </is>
      </c>
    </row>
    <row r="14">
      <c r="A14" s="4" t="inlineStr">
        <is>
          <t>Record of change / Lịch sử thay đổi</t>
        </is>
      </c>
    </row>
    <row r="15">
      <c r="A15" s="5" t="inlineStr">
        <is>
          <t>Version</t>
        </is>
      </c>
      <c r="B15" s="5" t="inlineStr">
        <is>
          <t>Date</t>
        </is>
      </c>
      <c r="C15" s="5" t="inlineStr">
        <is>
          <t>Author</t>
        </is>
      </c>
      <c r="D15" s="5" t="inlineStr">
        <is>
          <t>Change description</t>
        </is>
      </c>
      <c r="E15" s="5" t="inlineStr">
        <is>
          <t>Reviewer</t>
        </is>
      </c>
      <c r="F15" s="5" t="inlineStr">
        <is>
          <t>Status</t>
        </is>
      </c>
      <c r="G15" s="5" t="inlineStr">
        <is>
          <t>Note</t>
        </is>
      </c>
      <c r="H15" s="5" t="inlineStr"/>
    </row>
    <row r="16">
      <c r="A16" s="3" t="inlineStr">
        <is>
          <t>1.0</t>
        </is>
      </c>
      <c r="B16" s="3" t="inlineStr">
        <is>
          <t>21/05/2026</t>
        </is>
      </c>
      <c r="C16" s="3" t="inlineStr">
        <is>
          <t>Codex</t>
        </is>
      </c>
      <c r="D16" s="3" t="inlineStr">
        <is>
          <t>Create bilingual test cases for API - Bàn và món ăn</t>
        </is>
      </c>
      <c r="E16" s="3" t="inlineStr"/>
      <c r="F16" s="3" t="inlineStr">
        <is>
          <t>Draft</t>
        </is>
      </c>
      <c r="G16" s="3" t="inlineStr">
        <is>
          <t>Kiểm tra CRUD bàn, CRUD món và dữ liệu catalog</t>
        </is>
      </c>
      <c r="H16" s="3" t="inlineStr"/>
    </row>
  </sheetData>
  <mergeCells count="2">
    <mergeCell ref="A1:H2"/>
    <mergeCell ref="A14:H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8" customWidth="1" min="3" max="3"/>
    <col width="34" customWidth="1" min="4" max="4"/>
    <col width="34" customWidth="1" min="5" max="5"/>
    <col width="34" customWidth="1" min="6" max="6"/>
    <col width="44" customWidth="1" min="7" max="7"/>
    <col width="44" customWidth="1" min="8" max="8"/>
    <col width="28" customWidth="1" min="9" max="9"/>
    <col width="38" customWidth="1" min="10" max="10"/>
    <col width="38" customWidth="1" min="11" max="11"/>
    <col width="14" customWidth="1" min="12" max="12"/>
    <col width="18" customWidth="1" min="13" max="13"/>
    <col width="38" customWidth="1" min="14" max="14"/>
    <col width="28" customWidth="1" min="15" max="15"/>
  </cols>
  <sheetData>
    <row r="1">
      <c r="A1" s="6" t="inlineStr">
        <is>
          <t>TEST CASE</t>
        </is>
      </c>
    </row>
    <row r="3">
      <c r="A3" s="7" t="inlineStr">
        <is>
          <t>System Name:</t>
        </is>
      </c>
      <c r="B3" s="3" t="inlineStr">
        <is>
          <t>Quản Lý Nhà Hàng / Restaurant Management System</t>
        </is>
      </c>
    </row>
    <row r="4">
      <c r="A4" s="7" t="inlineStr">
        <is>
          <t>Module Code:</t>
        </is>
      </c>
      <c r="B4" s="3" t="inlineStr">
        <is>
          <t>API-CATALOG</t>
        </is>
      </c>
    </row>
    <row r="5">
      <c r="A5" s="7" t="inlineStr">
        <is>
          <t>Test requirement:</t>
        </is>
      </c>
      <c r="B5" s="3" t="inlineStr">
        <is>
          <t>Kiểm tra CRUD bàn, CRUD món và dữ liệu catalog</t>
        </is>
      </c>
    </row>
    <row r="6">
      <c r="A6" s="7" t="inlineStr">
        <is>
          <t>Pass</t>
        </is>
      </c>
      <c r="B6" s="3">
        <f>COUNTIF(M12:M500,"Pass*")</f>
        <v/>
      </c>
      <c r="C6" s="7" t="inlineStr">
        <is>
          <t>Pending</t>
        </is>
      </c>
      <c r="D6" s="3">
        <f>COUNTIF(M12:M500,"Pending*")</f>
        <v/>
      </c>
    </row>
    <row r="7">
      <c r="A7" s="7" t="inlineStr">
        <is>
          <t>Fail</t>
        </is>
      </c>
      <c r="B7" s="3">
        <f>COUNTIF(M12:M500,"Fail*")</f>
        <v/>
      </c>
      <c r="C7" s="7" t="inlineStr">
        <is>
          <t>Number of test cases:</t>
        </is>
      </c>
      <c r="D7" s="3">
        <f>COUNTA(A12:A500)</f>
        <v/>
      </c>
    </row>
    <row r="9">
      <c r="A9" s="8" t="inlineStr">
        <is>
          <t>ID</t>
        </is>
      </c>
      <c r="B9" s="8" t="inlineStr">
        <is>
          <t>Function / Chức năng</t>
        </is>
      </c>
      <c r="C9" s="8" t="inlineStr">
        <is>
          <t>Test location / Vị trí test</t>
        </is>
      </c>
      <c r="D9" s="8" t="inlineStr">
        <is>
          <t>Test Case Description (VI)</t>
        </is>
      </c>
      <c r="E9" s="8" t="inlineStr">
        <is>
          <t>Test Case Description (EN)</t>
        </is>
      </c>
      <c r="F9" s="8" t="inlineStr">
        <is>
          <t>Preconditions / Tiền điều kiện</t>
        </is>
      </c>
      <c r="G9" s="8" t="inlineStr">
        <is>
          <t>Test Case Procedure (VI)</t>
        </is>
      </c>
      <c r="H9" s="8" t="inlineStr">
        <is>
          <t>Test Case Procedure (EN)</t>
        </is>
      </c>
      <c r="I9" s="8" t="inlineStr">
        <is>
          <t>Test Data / Dữ liệu</t>
        </is>
      </c>
      <c r="J9" s="8" t="inlineStr">
        <is>
          <t>Expected Output (VI)</t>
        </is>
      </c>
      <c r="K9" s="8" t="inlineStr">
        <is>
          <t>Expected Output (EN)</t>
        </is>
      </c>
      <c r="L9" s="8" t="inlineStr">
        <is>
          <t>Test date</t>
        </is>
      </c>
      <c r="M9" s="8" t="inlineStr">
        <is>
          <t>Result / Kết quả</t>
        </is>
      </c>
      <c r="N9" s="8" t="inlineStr">
        <is>
          <t>Actual Result / Kết quả thực tế</t>
        </is>
      </c>
      <c r="O9" s="8" t="inlineStr">
        <is>
          <t>Note / Ghi chú</t>
        </is>
      </c>
    </row>
    <row r="12" ht="96" customHeight="1">
      <c r="A12" s="9" t="inlineStr">
        <is>
          <t>API-CATALOG-001</t>
        </is>
      </c>
      <c r="B12" s="3" t="inlineStr">
        <is>
          <t>API bàn/món</t>
        </is>
      </c>
      <c r="C12" s="3" t="inlineStr">
        <is>
          <t>Backend API &gt; /tables, /menu</t>
        </is>
      </c>
      <c r="D12" s="3" t="inlineStr">
        <is>
          <t>GET /tables trả danh sách bàn</t>
        </is>
      </c>
      <c r="E12" s="3" t="inlineStr">
        <is>
          <t>GET /tables returns table list</t>
        </is>
      </c>
      <c r="F12" s="3" t="inlineStr">
        <is>
          <t>Backend Node/Express đang chạy tại http://127.0.0.1:3000; dữ liệu JSON ở backend/data/restaurant.json.</t>
        </is>
      </c>
      <c r="G12" s="3" t="inlineStr">
        <is>
          <t>1. Mở vị trí test: Backend API &gt; /tables, /menu.
2. Thực hiện tình huống: GET /tables trả danh sách bàn.
3. Kiểm tra giao diện, dữ liệu lưu trong hệ thống và phản hồi lỗi/thành công.</t>
        </is>
      </c>
      <c r="H12" s="3" t="inlineStr">
        <is>
          <t>1. Open test location: Backend API &gt; /tables, /menu.
2. Execute scenario: GET /tables returns table list.
3. Verify UI, saved data, and success/error response.</t>
        </is>
      </c>
      <c r="I12" s="3" t="inlineStr"/>
      <c r="J12" s="3" t="inlineStr">
        <is>
          <t>Mảng bàn có id, name, seats, area, status.</t>
        </is>
      </c>
      <c r="K12" s="3" t="inlineStr">
        <is>
          <t>Table array has id, name, seats, area, status.</t>
        </is>
      </c>
      <c r="L12" s="9" t="inlineStr"/>
      <c r="M12" s="10" t="inlineStr">
        <is>
          <t>Pending / Chưa chạy</t>
        </is>
      </c>
      <c r="N12" s="3" t="inlineStr">
        <is>
          <t>Chưa chạy / Not executed</t>
        </is>
      </c>
      <c r="O12" s="3" t="inlineStr"/>
    </row>
    <row r="13" ht="96" customHeight="1">
      <c r="A13" s="9" t="inlineStr">
        <is>
          <t>API-CATALOG-002</t>
        </is>
      </c>
      <c r="B13" s="3" t="inlineStr">
        <is>
          <t>API bàn/món</t>
        </is>
      </c>
      <c r="C13" s="3" t="inlineStr">
        <is>
          <t>Backend API &gt; /tables, /menu</t>
        </is>
      </c>
      <c r="D13" s="3" t="inlineStr">
        <is>
          <t>POST /tables thêm bàn hợp lệ</t>
        </is>
      </c>
      <c r="E13" s="3" t="inlineStr">
        <is>
          <t>POST /tables creates valid table</t>
        </is>
      </c>
      <c r="F13" s="3" t="inlineStr">
        <is>
          <t>Backend Node/Express đang chạy tại http://127.0.0.1:3000; dữ liệu JSON ở backend/data/restaurant.json.</t>
        </is>
      </c>
      <c r="G13" s="3" t="inlineStr">
        <is>
          <t>1. Mở vị trí test: Backend API &gt; /tables, /menu.
2. Thực hiện tình huống: POST /tables thêm bàn hợp lệ.
3. Kiểm tra giao diện, dữ liệu lưu trong hệ thống và phản hồi lỗi/thành công.</t>
        </is>
      </c>
      <c r="H13" s="3" t="inlineStr">
        <is>
          <t>1. Open test location: Backend API &gt; /tables, /menu.
2. Execute scenario: POST /tables creates valid table.
3. Verify UI, saved data, and success/error response.</t>
        </is>
      </c>
      <c r="I13" s="3" t="inlineStr"/>
      <c r="J13" s="3" t="inlineStr">
        <is>
          <t>Bàn mới có id tăng và dữ liệu lưu vào JSON.</t>
        </is>
      </c>
      <c r="K13" s="3" t="inlineStr">
        <is>
          <t>New table has incremented id and is saved to JSON.</t>
        </is>
      </c>
      <c r="L13" s="9" t="inlineStr"/>
      <c r="M13" s="10" t="inlineStr">
        <is>
          <t>Pending / Chưa chạy</t>
        </is>
      </c>
      <c r="N13" s="3" t="inlineStr">
        <is>
          <t>Chưa chạy / Not executed</t>
        </is>
      </c>
      <c r="O13" s="3" t="inlineStr"/>
    </row>
    <row r="14" ht="96" customHeight="1">
      <c r="A14" s="9" t="inlineStr">
        <is>
          <t>API-CATALOG-003</t>
        </is>
      </c>
      <c r="B14" s="3" t="inlineStr">
        <is>
          <t>API bàn/món</t>
        </is>
      </c>
      <c r="C14" s="3" t="inlineStr">
        <is>
          <t>Backend API &gt; /tables, /menu</t>
        </is>
      </c>
      <c r="D14" s="3" t="inlineStr">
        <is>
          <t>PATCH /tables/:id sửa bàn</t>
        </is>
      </c>
      <c r="E14" s="3" t="inlineStr">
        <is>
          <t>PATCH /tables/:id updates table</t>
        </is>
      </c>
      <c r="F14" s="3" t="inlineStr">
        <is>
          <t>Backend Node/Express đang chạy tại http://127.0.0.1:3000; dữ liệu JSON ở backend/data/restaurant.json.</t>
        </is>
      </c>
      <c r="G14" s="3" t="inlineStr">
        <is>
          <t>1. Mở vị trí test: Backend API &gt; /tables, /menu.
2. Thực hiện tình huống: PATCH /tables/:id sửa bàn.
3. Kiểm tra giao diện, dữ liệu lưu trong hệ thống và phản hồi lỗi/thành công.</t>
        </is>
      </c>
      <c r="H14" s="3" t="inlineStr">
        <is>
          <t>1. Open test location: Backend API &gt; /tables, /menu.
2. Execute scenario: PATCH /tables/:id updates table.
3. Verify UI, saved data, and success/error response.</t>
        </is>
      </c>
      <c r="I14" s="3" t="inlineStr"/>
      <c r="J14" s="3" t="inlineStr">
        <is>
          <t>Bàn đúng id được cập nhật, bàn khác không đổi.</t>
        </is>
      </c>
      <c r="K14" s="3" t="inlineStr">
        <is>
          <t>Target table updates and other tables remain unchanged.</t>
        </is>
      </c>
      <c r="L14" s="9" t="inlineStr"/>
      <c r="M14" s="10" t="inlineStr">
        <is>
          <t>Pending / Chưa chạy</t>
        </is>
      </c>
      <c r="N14" s="3" t="inlineStr">
        <is>
          <t>Chưa chạy / Not executed</t>
        </is>
      </c>
      <c r="O14" s="3" t="inlineStr"/>
    </row>
    <row r="15" ht="96" customHeight="1">
      <c r="A15" s="9" t="inlineStr">
        <is>
          <t>API-CATALOG-004</t>
        </is>
      </c>
      <c r="B15" s="3" t="inlineStr">
        <is>
          <t>API bàn/món</t>
        </is>
      </c>
      <c r="C15" s="3" t="inlineStr">
        <is>
          <t>Backend API &gt; /tables, /menu</t>
        </is>
      </c>
      <c r="D15" s="3" t="inlineStr">
        <is>
          <t>DELETE /tables/:id xóa bàn</t>
        </is>
      </c>
      <c r="E15" s="3" t="inlineStr">
        <is>
          <t>DELETE /tables/:id deletes table</t>
        </is>
      </c>
      <c r="F15" s="3" t="inlineStr">
        <is>
          <t>Backend Node/Express đang chạy tại http://127.0.0.1:3000; dữ liệu JSON ở backend/data/restaurant.json.</t>
        </is>
      </c>
      <c r="G15" s="3" t="inlineStr">
        <is>
          <t>1. Mở vị trí test: Backend API &gt; /tables, /menu.
2. Thực hiện tình huống: DELETE /tables/:id xóa bàn.
3. Kiểm tra giao diện, dữ liệu lưu trong hệ thống và phản hồi lỗi/thành công.</t>
        </is>
      </c>
      <c r="H15" s="3" t="inlineStr">
        <is>
          <t>1. Open test location: Backend API &gt; /tables, /menu.
2. Execute scenario: DELETE /tables/:id deletes table.
3. Verify UI, saved data, and success/error response.</t>
        </is>
      </c>
      <c r="I15" s="3" t="inlineStr"/>
      <c r="J15" s="3" t="inlineStr">
        <is>
          <t>Bàn không còn trong GET /tables sau khi xóa.</t>
        </is>
      </c>
      <c r="K15" s="3" t="inlineStr">
        <is>
          <t>Table no longer appears in GET /tables.</t>
        </is>
      </c>
      <c r="L15" s="9" t="inlineStr"/>
      <c r="M15" s="10" t="inlineStr">
        <is>
          <t>Pending / Chưa chạy</t>
        </is>
      </c>
      <c r="N15" s="3" t="inlineStr">
        <is>
          <t>Chưa chạy / Not executed</t>
        </is>
      </c>
      <c r="O15" s="3" t="inlineStr"/>
    </row>
    <row r="16" ht="96" customHeight="1">
      <c r="A16" s="9" t="inlineStr">
        <is>
          <t>API-CATALOG-005</t>
        </is>
      </c>
      <c r="B16" s="3" t="inlineStr">
        <is>
          <t>API bàn/món</t>
        </is>
      </c>
      <c r="C16" s="3" t="inlineStr">
        <is>
          <t>Backend API &gt; /tables, /menu</t>
        </is>
      </c>
      <c r="D16" s="3" t="inlineStr">
        <is>
          <t>DELETE /tables id không tồn tại</t>
        </is>
      </c>
      <c r="E16" s="3" t="inlineStr">
        <is>
          <t>DELETE /tables non-existing id</t>
        </is>
      </c>
      <c r="F16" s="3" t="inlineStr">
        <is>
          <t>Backend Node/Express đang chạy tại http://127.0.0.1:3000; dữ liệu JSON ở backend/data/restaurant.json.</t>
        </is>
      </c>
      <c r="G16" s="3" t="inlineStr">
        <is>
          <t>1. Mở vị trí test: Backend API &gt; /tables, /menu.
2. Thực hiện tình huống: DELETE /tables id không tồn tại.
3. Kiểm tra giao diện, dữ liệu lưu trong hệ thống và phản hồi lỗi/thành công.</t>
        </is>
      </c>
      <c r="H16" s="3" t="inlineStr">
        <is>
          <t>1. Open test location: Backend API &gt; /tables, /menu.
2. Execute scenario: DELETE /tables non-existing id.
3. Verify UI, saved data, and success/error response.</t>
        </is>
      </c>
      <c r="I16" s="3" t="inlineStr">
        <is>
          <t>id=9999</t>
        </is>
      </c>
      <c r="J16" s="3" t="inlineStr">
        <is>
          <t>Trả 404/lỗi phù hợp, dữ liệu không đổi.</t>
        </is>
      </c>
      <c r="K16" s="3" t="inlineStr">
        <is>
          <t>Returns 404/proper error and data is unchanged.</t>
        </is>
      </c>
      <c r="L16" s="9" t="inlineStr"/>
      <c r="M16" s="10" t="inlineStr">
        <is>
          <t>Pending / Chưa chạy</t>
        </is>
      </c>
      <c r="N16" s="3" t="inlineStr">
        <is>
          <t>Chưa chạy / Not executed</t>
        </is>
      </c>
      <c r="O16" s="3" t="inlineStr"/>
    </row>
    <row r="17" ht="96" customHeight="1">
      <c r="A17" s="9" t="inlineStr">
        <is>
          <t>API-CATALOG-006</t>
        </is>
      </c>
      <c r="B17" s="3" t="inlineStr">
        <is>
          <t>API bàn/món</t>
        </is>
      </c>
      <c r="C17" s="3" t="inlineStr">
        <is>
          <t>Backend API &gt; /tables, /menu</t>
        </is>
      </c>
      <c r="D17" s="3" t="inlineStr">
        <is>
          <t>POST /tables thiếu name</t>
        </is>
      </c>
      <c r="E17" s="3" t="inlineStr">
        <is>
          <t>POST /tables missing name</t>
        </is>
      </c>
      <c r="F17" s="3" t="inlineStr">
        <is>
          <t>Backend Node/Express đang chạy tại http://127.0.0.1:3000; dữ liệu JSON ở backend/data/restaurant.json.</t>
        </is>
      </c>
      <c r="G17" s="3" t="inlineStr">
        <is>
          <t>1. Mở vị trí test: Backend API &gt; /tables, /menu.
2. Thực hiện tình huống: POST /tables thiếu name.
3. Kiểm tra giao diện, dữ liệu lưu trong hệ thống và phản hồi lỗi/thành công.</t>
        </is>
      </c>
      <c r="H17" s="3" t="inlineStr">
        <is>
          <t>1. Open test location: Backend API &gt; /tables, /menu.
2. Execute scenario: POST /tables missing name.
3. Verify UI, saved data, and success/error response.</t>
        </is>
      </c>
      <c r="I17" s="3" t="inlineStr"/>
      <c r="J17" s="3" t="inlineStr">
        <is>
          <t>API xử lý validation hoặc default rõ ràng.</t>
        </is>
      </c>
      <c r="K17" s="3" t="inlineStr">
        <is>
          <t>API validates or defaults clearly.</t>
        </is>
      </c>
      <c r="L17" s="9" t="inlineStr"/>
      <c r="M17" s="10" t="inlineStr">
        <is>
          <t>Pending / Chưa chạy</t>
        </is>
      </c>
      <c r="N17" s="3" t="inlineStr">
        <is>
          <t>Chưa chạy / Not executed</t>
        </is>
      </c>
      <c r="O17" s="3" t="inlineStr"/>
    </row>
    <row r="18" ht="96" customHeight="1">
      <c r="A18" s="9" t="inlineStr">
        <is>
          <t>API-CATALOG-007</t>
        </is>
      </c>
      <c r="B18" s="3" t="inlineStr">
        <is>
          <t>API bàn/món</t>
        </is>
      </c>
      <c r="C18" s="3" t="inlineStr">
        <is>
          <t>Backend API &gt; /tables, /menu</t>
        </is>
      </c>
      <c r="D18" s="3" t="inlineStr">
        <is>
          <t>POST /tables seats không phải số</t>
        </is>
      </c>
      <c r="E18" s="3" t="inlineStr">
        <is>
          <t>POST /tables non-numeric seats</t>
        </is>
      </c>
      <c r="F18" s="3" t="inlineStr">
        <is>
          <t>Backend Node/Express đang chạy tại http://127.0.0.1:3000; dữ liệu JSON ở backend/data/restaurant.json.</t>
        </is>
      </c>
      <c r="G18" s="3" t="inlineStr">
        <is>
          <t>1. Mở vị trí test: Backend API &gt; /tables, /menu.
2. Thực hiện tình huống: POST /tables seats không phải số.
3. Kiểm tra giao diện, dữ liệu lưu trong hệ thống và phản hồi lỗi/thành công.</t>
        </is>
      </c>
      <c r="H18" s="3" t="inlineStr">
        <is>
          <t>1. Open test location: Backend API &gt; /tables, /menu.
2. Execute scenario: POST /tables non-numeric seats.
3. Verify UI, saved data, and success/error response.</t>
        </is>
      </c>
      <c r="I18" s="3" t="inlineStr">
        <is>
          <t>seats=abc</t>
        </is>
      </c>
      <c r="J18" s="3" t="inlineStr">
        <is>
          <t>Không lưu seats NaN; trả lỗi hoặc default.</t>
        </is>
      </c>
      <c r="K18" s="3" t="inlineStr">
        <is>
          <t>Does not save NaN seats; returns error or default.</t>
        </is>
      </c>
      <c r="L18" s="9" t="inlineStr"/>
      <c r="M18" s="10" t="inlineStr">
        <is>
          <t>Pending / Chưa chạy</t>
        </is>
      </c>
      <c r="N18" s="3" t="inlineStr">
        <is>
          <t>Chưa chạy / Not executed</t>
        </is>
      </c>
      <c r="O18" s="3" t="inlineStr"/>
    </row>
    <row r="19" ht="96" customHeight="1">
      <c r="A19" s="9" t="inlineStr">
        <is>
          <t>API-CATALOG-008</t>
        </is>
      </c>
      <c r="B19" s="3" t="inlineStr">
        <is>
          <t>API bàn/món</t>
        </is>
      </c>
      <c r="C19" s="3" t="inlineStr">
        <is>
          <t>Backend API &gt; /tables, /menu</t>
        </is>
      </c>
      <c r="D19" s="3" t="inlineStr">
        <is>
          <t>GET /menu trả danh sách món</t>
        </is>
      </c>
      <c r="E19" s="3" t="inlineStr">
        <is>
          <t>GET /menu returns menu list</t>
        </is>
      </c>
      <c r="F19" s="3" t="inlineStr">
        <is>
          <t>Backend Node/Express đang chạy tại http://127.0.0.1:3000; dữ liệu JSON ở backend/data/restaurant.json.</t>
        </is>
      </c>
      <c r="G19" s="3" t="inlineStr">
        <is>
          <t>1. Mở vị trí test: Backend API &gt; /tables, /menu.
2. Thực hiện tình huống: GET /menu trả danh sách món.
3. Kiểm tra giao diện, dữ liệu lưu trong hệ thống và phản hồi lỗi/thành công.</t>
        </is>
      </c>
      <c r="H19" s="3" t="inlineStr">
        <is>
          <t>1. Open test location: Backend API &gt; /tables, /menu.
2. Execute scenario: GET /menu returns menu list.
3. Verify UI, saved data, and success/error response.</t>
        </is>
      </c>
      <c r="I19" s="3" t="inlineStr"/>
      <c r="J19" s="3" t="inlineStr">
        <is>
          <t>Mảng món có id, name, category, price, available, imageUrl.</t>
        </is>
      </c>
      <c r="K19" s="3" t="inlineStr">
        <is>
          <t>Menu array has id, name, category, price, available, imageUrl.</t>
        </is>
      </c>
      <c r="L19" s="9" t="inlineStr"/>
      <c r="M19" s="10" t="inlineStr">
        <is>
          <t>Pending / Chưa chạy</t>
        </is>
      </c>
      <c r="N19" s="3" t="inlineStr">
        <is>
          <t>Chưa chạy / Not executed</t>
        </is>
      </c>
      <c r="O19" s="3" t="inlineStr"/>
    </row>
    <row r="20" ht="96" customHeight="1">
      <c r="A20" s="9" t="inlineStr">
        <is>
          <t>API-CATALOG-009</t>
        </is>
      </c>
      <c r="B20" s="3" t="inlineStr">
        <is>
          <t>API bàn/món</t>
        </is>
      </c>
      <c r="C20" s="3" t="inlineStr">
        <is>
          <t>Backend API &gt; /tables, /menu</t>
        </is>
      </c>
      <c r="D20" s="3" t="inlineStr">
        <is>
          <t>POST /menu thêm món hợp lệ</t>
        </is>
      </c>
      <c r="E20" s="3" t="inlineStr">
        <is>
          <t>POST /menu creates valid item</t>
        </is>
      </c>
      <c r="F20" s="3" t="inlineStr">
        <is>
          <t>Backend Node/Express đang chạy tại http://127.0.0.1:3000; dữ liệu JSON ở backend/data/restaurant.json.</t>
        </is>
      </c>
      <c r="G20" s="3" t="inlineStr">
        <is>
          <t>1. Mở vị trí test: Backend API &gt; /tables, /menu.
2. Thực hiện tình huống: POST /menu thêm món hợp lệ.
3. Kiểm tra giao diện, dữ liệu lưu trong hệ thống và phản hồi lỗi/thành công.</t>
        </is>
      </c>
      <c r="H20" s="3" t="inlineStr">
        <is>
          <t>1. Open test location: Backend API &gt; /tables, /menu.
2. Execute scenario: POST /menu creates valid item.
3. Verify UI, saved data, and success/error response.</t>
        </is>
      </c>
      <c r="I20" s="3" t="inlineStr"/>
      <c r="J20" s="3" t="inlineStr">
        <is>
          <t>Món mới có id tăng và available hợp lệ.</t>
        </is>
      </c>
      <c r="K20" s="3" t="inlineStr">
        <is>
          <t>New item has incremented id and valid availability.</t>
        </is>
      </c>
      <c r="L20" s="9" t="inlineStr"/>
      <c r="M20" s="10" t="inlineStr">
        <is>
          <t>Pending / Chưa chạy</t>
        </is>
      </c>
      <c r="N20" s="3" t="inlineStr">
        <is>
          <t>Chưa chạy / Not executed</t>
        </is>
      </c>
      <c r="O20" s="3" t="inlineStr"/>
    </row>
    <row r="21" ht="96" customHeight="1">
      <c r="A21" s="9" t="inlineStr">
        <is>
          <t>API-CATALOG-010</t>
        </is>
      </c>
      <c r="B21" s="3" t="inlineStr">
        <is>
          <t>API bàn/món</t>
        </is>
      </c>
      <c r="C21" s="3" t="inlineStr">
        <is>
          <t>Backend API &gt; /tables, /menu</t>
        </is>
      </c>
      <c r="D21" s="3" t="inlineStr">
        <is>
          <t>PATCH /menu/:id sửa giá món</t>
        </is>
      </c>
      <c r="E21" s="3" t="inlineStr">
        <is>
          <t>PATCH /menu/:id updates price</t>
        </is>
      </c>
      <c r="F21" s="3" t="inlineStr">
        <is>
          <t>Backend Node/Express đang chạy tại http://127.0.0.1:3000; dữ liệu JSON ở backend/data/restaurant.json.</t>
        </is>
      </c>
      <c r="G21" s="3" t="inlineStr">
        <is>
          <t>1. Mở vị trí test: Backend API &gt; /tables, /menu.
2. Thực hiện tình huống: PATCH /menu/:id sửa giá món.
3. Kiểm tra giao diện, dữ liệu lưu trong hệ thống và phản hồi lỗi/thành công.</t>
        </is>
      </c>
      <c r="H21" s="3" t="inlineStr">
        <is>
          <t>1. Open test location: Backend API &gt; /tables, /menu.
2. Execute scenario: PATCH /menu/:id updates price.
3. Verify UI, saved data, and success/error response.</t>
        </is>
      </c>
      <c r="I21" s="3" t="inlineStr"/>
      <c r="J21" s="3" t="inlineStr">
        <is>
          <t>Giá mới là số hợp lệ và lưu vào JSON.</t>
        </is>
      </c>
      <c r="K21" s="3" t="inlineStr">
        <is>
          <t>New price is numeric and saved.</t>
        </is>
      </c>
      <c r="L21" s="9" t="inlineStr"/>
      <c r="M21" s="10" t="inlineStr">
        <is>
          <t>Pending / Chưa chạy</t>
        </is>
      </c>
      <c r="N21" s="3" t="inlineStr">
        <is>
          <t>Chưa chạy / Not executed</t>
        </is>
      </c>
      <c r="O21" s="3" t="inlineStr"/>
    </row>
    <row r="22" ht="96" customHeight="1">
      <c r="A22" s="9" t="inlineStr">
        <is>
          <t>API-CATALOG-011</t>
        </is>
      </c>
      <c r="B22" s="3" t="inlineStr">
        <is>
          <t>API bàn/món</t>
        </is>
      </c>
      <c r="C22" s="3" t="inlineStr">
        <is>
          <t>Backend API &gt; /tables, /menu</t>
        </is>
      </c>
      <c r="D22" s="3" t="inlineStr">
        <is>
          <t>PATCH /menu/:id bật/tắt available</t>
        </is>
      </c>
      <c r="E22" s="3" t="inlineStr">
        <is>
          <t>PATCH /menu/:id toggles availability</t>
        </is>
      </c>
      <c r="F22" s="3" t="inlineStr">
        <is>
          <t>Backend Node/Express đang chạy tại http://127.0.0.1:3000; dữ liệu JSON ở backend/data/restaurant.json.</t>
        </is>
      </c>
      <c r="G22" s="3" t="inlineStr">
        <is>
          <t>1. Mở vị trí test: Backend API &gt; /tables, /menu.
2. Thực hiện tình huống: PATCH /menu/:id bật/tắt available.
3. Kiểm tra giao diện, dữ liệu lưu trong hệ thống và phản hồi lỗi/thành công.</t>
        </is>
      </c>
      <c r="H22" s="3" t="inlineStr">
        <is>
          <t>1. Open test location: Backend API &gt; /tables, /menu.
2. Execute scenario: PATCH /menu/:id toggles availability.
3. Verify UI, saved data, and success/error response.</t>
        </is>
      </c>
      <c r="I22" s="3" t="inlineStr"/>
      <c r="J22" s="3" t="inlineStr">
        <is>
          <t>Trạng thái available thay đổi và GET /menu phản ánh.</t>
        </is>
      </c>
      <c r="K22" s="3" t="inlineStr">
        <is>
          <t>Availability changes and GET /menu reflects it.</t>
        </is>
      </c>
      <c r="L22" s="9" t="inlineStr"/>
      <c r="M22" s="10" t="inlineStr">
        <is>
          <t>Pending / Chưa chạy</t>
        </is>
      </c>
      <c r="N22" s="3" t="inlineStr">
        <is>
          <t>Chưa chạy / Not executed</t>
        </is>
      </c>
      <c r="O22" s="3" t="inlineStr"/>
    </row>
    <row r="23" ht="96" customHeight="1">
      <c r="A23" s="9" t="inlineStr">
        <is>
          <t>API-CATALOG-012</t>
        </is>
      </c>
      <c r="B23" s="3" t="inlineStr">
        <is>
          <t>API bàn/món</t>
        </is>
      </c>
      <c r="C23" s="3" t="inlineStr">
        <is>
          <t>Backend API &gt; /tables, /menu</t>
        </is>
      </c>
      <c r="D23" s="3" t="inlineStr">
        <is>
          <t>DELETE /menu/:id xóa món</t>
        </is>
      </c>
      <c r="E23" s="3" t="inlineStr">
        <is>
          <t>DELETE /menu/:id deletes item</t>
        </is>
      </c>
      <c r="F23" s="3" t="inlineStr">
        <is>
          <t>Backend Node/Express đang chạy tại http://127.0.0.1:3000; dữ liệu JSON ở backend/data/restaurant.json.</t>
        </is>
      </c>
      <c r="G23" s="3" t="inlineStr">
        <is>
          <t>1. Mở vị trí test: Backend API &gt; /tables, /menu.
2. Thực hiện tình huống: DELETE /menu/:id xóa món.
3. Kiểm tra giao diện, dữ liệu lưu trong hệ thống và phản hồi lỗi/thành công.</t>
        </is>
      </c>
      <c r="H23" s="3" t="inlineStr">
        <is>
          <t>1. Open test location: Backend API &gt; /tables, /menu.
2. Execute scenario: DELETE /menu/:id deletes item.
3. Verify UI, saved data, and success/error response.</t>
        </is>
      </c>
      <c r="I23" s="3" t="inlineStr"/>
      <c r="J23" s="3" t="inlineStr">
        <is>
          <t>Món không còn trong danh sách quản lý.</t>
        </is>
      </c>
      <c r="K23" s="3" t="inlineStr">
        <is>
          <t>Item no longer appears in management list.</t>
        </is>
      </c>
      <c r="L23" s="9" t="inlineStr"/>
      <c r="M23" s="10" t="inlineStr">
        <is>
          <t>Pending / Chưa chạy</t>
        </is>
      </c>
      <c r="N23" s="3" t="inlineStr">
        <is>
          <t>Chưa chạy / Not executed</t>
        </is>
      </c>
      <c r="O23" s="3" t="inlineStr"/>
    </row>
    <row r="24" ht="96" customHeight="1">
      <c r="A24" s="9" t="inlineStr">
        <is>
          <t>API-CATALOG-013</t>
        </is>
      </c>
      <c r="B24" s="3" t="inlineStr">
        <is>
          <t>API bàn/món</t>
        </is>
      </c>
      <c r="C24" s="3" t="inlineStr">
        <is>
          <t>Backend API &gt; /tables, /menu</t>
        </is>
      </c>
      <c r="D24" s="3" t="inlineStr">
        <is>
          <t>POST /menu thiếu price</t>
        </is>
      </c>
      <c r="E24" s="3" t="inlineStr">
        <is>
          <t>POST /menu missing price</t>
        </is>
      </c>
      <c r="F24" s="3" t="inlineStr">
        <is>
          <t>Backend Node/Express đang chạy tại http://127.0.0.1:3000; dữ liệu JSON ở backend/data/restaurant.json.</t>
        </is>
      </c>
      <c r="G24" s="3" t="inlineStr">
        <is>
          <t>1. Mở vị trí test: Backend API &gt; /tables, /menu.
2. Thực hiện tình huống: POST /menu thiếu price.
3. Kiểm tra giao diện, dữ liệu lưu trong hệ thống và phản hồi lỗi/thành công.</t>
        </is>
      </c>
      <c r="H24" s="3" t="inlineStr">
        <is>
          <t>1. Open test location: Backend API &gt; /tables, /menu.
2. Execute scenario: POST /menu missing price.
3. Verify UI, saved data, and success/error response.</t>
        </is>
      </c>
      <c r="I24" s="3" t="inlineStr"/>
      <c r="J24" s="3" t="inlineStr">
        <is>
          <t>API không lưu dữ liệu thiếu giá gây lỗi tính tiền.</t>
        </is>
      </c>
      <c r="K24" s="3" t="inlineStr">
        <is>
          <t>API does not save missing price that breaks totals.</t>
        </is>
      </c>
      <c r="L24" s="9" t="inlineStr"/>
      <c r="M24" s="10" t="inlineStr">
        <is>
          <t>Pending / Chưa chạy</t>
        </is>
      </c>
      <c r="N24" s="3" t="inlineStr">
        <is>
          <t>Chưa chạy / Not executed</t>
        </is>
      </c>
      <c r="O24" s="3" t="inlineStr"/>
    </row>
    <row r="25" ht="96" customHeight="1">
      <c r="A25" s="9" t="inlineStr">
        <is>
          <t>API-CATALOG-014</t>
        </is>
      </c>
      <c r="B25" s="3" t="inlineStr">
        <is>
          <t>API bàn/món</t>
        </is>
      </c>
      <c r="C25" s="3" t="inlineStr">
        <is>
          <t>Backend API &gt; /tables, /menu</t>
        </is>
      </c>
      <c r="D25" s="3" t="inlineStr">
        <is>
          <t>POST /menu price âm</t>
        </is>
      </c>
      <c r="E25" s="3" t="inlineStr">
        <is>
          <t>POST /menu negative price</t>
        </is>
      </c>
      <c r="F25" s="3" t="inlineStr">
        <is>
          <t>Backend Node/Express đang chạy tại http://127.0.0.1:3000; dữ liệu JSON ở backend/data/restaurant.json.</t>
        </is>
      </c>
      <c r="G25" s="3" t="inlineStr">
        <is>
          <t>1. Mở vị trí test: Backend API &gt; /tables, /menu.
2. Thực hiện tình huống: POST /menu price âm.
3. Kiểm tra giao diện, dữ liệu lưu trong hệ thống và phản hồi lỗi/thành công.</t>
        </is>
      </c>
      <c r="H25" s="3" t="inlineStr">
        <is>
          <t>1. Open test location: Backend API &gt; /tables, /menu.
2. Execute scenario: POST /menu negative price.
3. Verify UI, saved data, and success/error response.</t>
        </is>
      </c>
      <c r="I25" s="3" t="inlineStr">
        <is>
          <t>-5000</t>
        </is>
      </c>
      <c r="J25" s="3" t="inlineStr">
        <is>
          <t>API chặn hoặc chuẩn hóa giá âm.</t>
        </is>
      </c>
      <c r="K25" s="3" t="inlineStr">
        <is>
          <t>API blocks or normalizes negative price.</t>
        </is>
      </c>
      <c r="L25" s="9" t="inlineStr"/>
      <c r="M25" s="10" t="inlineStr">
        <is>
          <t>Pending / Chưa chạy</t>
        </is>
      </c>
      <c r="N25" s="3" t="inlineStr">
        <is>
          <t>Chưa chạy / Not executed</t>
        </is>
      </c>
      <c r="O25" s="3" t="inlineStr"/>
    </row>
    <row r="26" ht="96" customHeight="1">
      <c r="A26" s="9" t="inlineStr">
        <is>
          <t>API-CATALOG-015</t>
        </is>
      </c>
      <c r="B26" s="3" t="inlineStr">
        <is>
          <t>API bàn/món</t>
        </is>
      </c>
      <c r="C26" s="3" t="inlineStr">
        <is>
          <t>Backend API &gt; /tables, /menu</t>
        </is>
      </c>
      <c r="D26" s="3" t="inlineStr">
        <is>
          <t>Image URL được normalize khi thiếu</t>
        </is>
      </c>
      <c r="E26" s="3" t="inlineStr">
        <is>
          <t>Image URL is normalized when missing</t>
        </is>
      </c>
      <c r="F26" s="3" t="inlineStr">
        <is>
          <t>Backend Node/Express đang chạy tại http://127.0.0.1:3000; dữ liệu JSON ở backend/data/restaurant.json.</t>
        </is>
      </c>
      <c r="G26" s="3" t="inlineStr">
        <is>
          <t>1. Mở vị trí test: Backend API &gt; /tables, /menu.
2. Thực hiện tình huống: Image URL được normalize khi thiếu.
3. Kiểm tra giao diện, dữ liệu lưu trong hệ thống và phản hồi lỗi/thành công.</t>
        </is>
      </c>
      <c r="H26" s="3" t="inlineStr">
        <is>
          <t>1. Open test location: Backend API &gt; /tables, /menu.
2. Execute scenario: Image URL is normalized when missing.
3. Verify UI, saved data, and success/error response.</t>
        </is>
      </c>
      <c r="I26" s="3" t="inlineStr"/>
      <c r="J26" s="3" t="inlineStr">
        <is>
          <t>Món có imageUrl fallback/seed hợp lệ.</t>
        </is>
      </c>
      <c r="K26" s="3" t="inlineStr">
        <is>
          <t>Item has fallback/seed imageUrl.</t>
        </is>
      </c>
      <c r="L26" s="9" t="inlineStr"/>
      <c r="M26" s="10" t="inlineStr">
        <is>
          <t>Pending / Chưa chạy</t>
        </is>
      </c>
      <c r="N26" s="3" t="inlineStr">
        <is>
          <t>Chưa chạy / Not executed</t>
        </is>
      </c>
      <c r="O26" s="3" t="inlineStr"/>
    </row>
    <row r="27" ht="96" customHeight="1">
      <c r="A27" s="9" t="inlineStr">
        <is>
          <t>API-CATALOG-016</t>
        </is>
      </c>
      <c r="B27" s="3" t="inlineStr">
        <is>
          <t>API bàn/món</t>
        </is>
      </c>
      <c r="C27" s="3" t="inlineStr">
        <is>
          <t>Backend API &gt; /tables, /menu</t>
        </is>
      </c>
      <c r="D27" s="3" t="inlineStr">
        <is>
          <t>nextIds không bị trùng sau reset</t>
        </is>
      </c>
      <c r="E27" s="3" t="inlineStr">
        <is>
          <t>nextIds do not duplicate after reset</t>
        </is>
      </c>
      <c r="F27" s="3" t="inlineStr">
        <is>
          <t>Backend Node/Express đang chạy tại http://127.0.0.1:3000; dữ liệu JSON ở backend/data/restaurant.json.</t>
        </is>
      </c>
      <c r="G27" s="3" t="inlineStr">
        <is>
          <t>1. Mở vị trí test: Backend API &gt; /tables, /menu.
2. Thực hiện tình huống: nextIds không bị trùng sau reset.
3. Kiểm tra giao diện, dữ liệu lưu trong hệ thống và phản hồi lỗi/thành công.</t>
        </is>
      </c>
      <c r="H27" s="3" t="inlineStr">
        <is>
          <t>1. Open test location: Backend API &gt; /tables, /menu.
2. Execute scenario: nextIds do not duplicate after reset.
3. Verify UI, saved data, and success/error response.</t>
        </is>
      </c>
      <c r="I27" s="3" t="inlineStr"/>
      <c r="J27" s="3" t="inlineStr">
        <is>
          <t>Sau reset và thêm mới, id không trùng dữ liệu seed.</t>
        </is>
      </c>
      <c r="K27" s="3" t="inlineStr">
        <is>
          <t>After reset and creation, id does not collide with seed data.</t>
        </is>
      </c>
      <c r="L27" s="9" t="inlineStr"/>
      <c r="M27" s="10" t="inlineStr">
        <is>
          <t>Pending / Chưa chạy</t>
        </is>
      </c>
      <c r="N27" s="3" t="inlineStr">
        <is>
          <t>Chưa chạy / Not executed</t>
        </is>
      </c>
      <c r="O27" s="3" t="inlineStr"/>
    </row>
  </sheetData>
  <autoFilter ref="A9:O27"/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52" customWidth="1" min="3" max="3"/>
    <col width="28" customWidth="1" min="4" max="4"/>
    <col width="16" customWidth="1" min="5" max="5"/>
    <col width="14" customWidth="1" min="6" max="6"/>
    <col width="28" customWidth="1" min="7" max="7"/>
  </cols>
  <sheetData>
    <row r="1">
      <c r="A1" s="6" t="inlineStr">
        <is>
          <t>TEST REPORT</t>
        </is>
      </c>
    </row>
    <row r="3">
      <c r="A3" s="7" t="inlineStr">
        <is>
          <t>System Name</t>
        </is>
      </c>
      <c r="B3" s="3" t="inlineStr">
        <is>
          <t>Quản Lý Nhà Hàng / Restaurant Management System</t>
        </is>
      </c>
    </row>
    <row r="4">
      <c r="A4" s="7" t="inlineStr">
        <is>
          <t>Module</t>
        </is>
      </c>
      <c r="B4" s="3" t="inlineStr">
        <is>
          <t>API - Bàn và món ăn / API - Tables and Menu</t>
        </is>
      </c>
    </row>
    <row r="5">
      <c r="A5" s="7" t="inlineStr">
        <is>
          <t>Module Code</t>
        </is>
      </c>
      <c r="B5" s="3" t="inlineStr">
        <is>
          <t>API-CATALOG</t>
        </is>
      </c>
    </row>
    <row r="6">
      <c r="A6" s="7" t="inlineStr">
        <is>
          <t>Issue date</t>
        </is>
      </c>
      <c r="B6" s="3" t="inlineStr">
        <is>
          <t>21/05/2026</t>
        </is>
      </c>
    </row>
    <row r="7">
      <c r="A7" s="7" t="inlineStr">
        <is>
          <t>Total test cases</t>
        </is>
      </c>
      <c r="B7" s="3" t="n">
        <v>16</v>
      </c>
    </row>
    <row r="10">
      <c r="A10" s="8" t="inlineStr">
        <is>
          <t>Result</t>
        </is>
      </c>
      <c r="B10" s="8" t="inlineStr">
        <is>
          <t>Count</t>
        </is>
      </c>
      <c r="C10" s="8" t="inlineStr">
        <is>
          <t>Meaning / Ý nghĩa</t>
        </is>
      </c>
      <c r="D10" s="8" t="inlineStr">
        <is>
          <t>Scope</t>
        </is>
      </c>
      <c r="E10" s="8" t="inlineStr">
        <is>
          <t>Owner</t>
        </is>
      </c>
      <c r="F10" s="8" t="inlineStr">
        <is>
          <t>Date</t>
        </is>
      </c>
      <c r="G10" s="8" t="inlineStr">
        <is>
          <t>Note</t>
        </is>
      </c>
    </row>
    <row r="11">
      <c r="A11" s="11" t="inlineStr">
        <is>
          <t>Pass / Đạt</t>
        </is>
      </c>
      <c r="B11" s="3">
        <f>COUNTIF('Test Cases'!M12:M500,"Pass*")</f>
        <v/>
      </c>
      <c r="C11" s="3" t="inlineStr">
        <is>
          <t>Executed and matched expected result / Đã chạy và đúng mong đợi</t>
        </is>
      </c>
      <c r="D11" s="3" t="inlineStr">
        <is>
          <t>API - Bàn và món ăn</t>
        </is>
      </c>
      <c r="E11" s="3" t="inlineStr">
        <is>
          <t>QA / Dev</t>
        </is>
      </c>
      <c r="F11" s="3" t="inlineStr">
        <is>
          <t>21/05/2026</t>
        </is>
      </c>
      <c r="G11" s="3" t="inlineStr"/>
    </row>
    <row r="12">
      <c r="A12" s="12" t="inlineStr">
        <is>
          <t>Fail / Không đạt</t>
        </is>
      </c>
      <c r="B12" s="3">
        <f>COUNTIF('Test Cases'!M12:M500,"Fail*")</f>
        <v/>
      </c>
      <c r="C12" s="3" t="inlineStr">
        <is>
          <t>Executed but did not match expected result / Đã chạy nhưng sai mong đợi</t>
        </is>
      </c>
      <c r="D12" s="3" t="inlineStr">
        <is>
          <t>API - Bàn và món ăn</t>
        </is>
      </c>
      <c r="E12" s="3" t="inlineStr">
        <is>
          <t>QA / Dev</t>
        </is>
      </c>
      <c r="F12" s="3" t="inlineStr">
        <is>
          <t>21/05/2026</t>
        </is>
      </c>
      <c r="G12" s="3" t="inlineStr"/>
    </row>
    <row r="13">
      <c r="A13" s="13" t="inlineStr">
        <is>
          <t>Pending / Chưa chạy</t>
        </is>
      </c>
      <c r="B13" s="3">
        <f>COUNTIF('Test Cases'!M12:M500,"Pending*")</f>
        <v/>
      </c>
      <c r="C13" s="3" t="inlineStr">
        <is>
          <t>Written but not yet executed manually / Đã viết, chưa chạy thủ công</t>
        </is>
      </c>
      <c r="D13" s="3" t="inlineStr">
        <is>
          <t>API - Bàn và món ăn</t>
        </is>
      </c>
      <c r="E13" s="3" t="inlineStr">
        <is>
          <t>QA / Dev</t>
        </is>
      </c>
      <c r="F13" s="3" t="inlineStr">
        <is>
          <t>21/05/2026</t>
        </is>
      </c>
      <c r="G13" s="3" t="inlineStr"/>
    </row>
    <row r="14">
      <c r="A14" s="3" t="inlineStr">
        <is>
          <t>Number of test cases</t>
        </is>
      </c>
      <c r="B14" s="3">
        <f>COUNTA('Test Cases'!A12:A500)</f>
        <v/>
      </c>
      <c r="C14" s="3" t="inlineStr">
        <is>
          <t>Total case rows / Tổng số dòng case</t>
        </is>
      </c>
      <c r="D14" s="3" t="inlineStr">
        <is>
          <t>API - Bàn và món ăn</t>
        </is>
      </c>
      <c r="E14" s="3" t="inlineStr">
        <is>
          <t>QA / Dev</t>
        </is>
      </c>
      <c r="F14" s="3" t="inlineStr">
        <is>
          <t>21/05/2026</t>
        </is>
      </c>
      <c r="G14" s="3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2026-05-21T11:33:23Z</dcterms:created>
  <dcterms:modified xmlns:dcterms="http://purl.org/dc/terms/" xmlns:xsi="http://www.w3.org/2001/XMLSchema-instance" xsi:type="dcterms:W3CDTF">2026-05-21T11:33:23Z</dcterms:modified>
</cp:coreProperties>
</file>