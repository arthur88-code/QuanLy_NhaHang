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Report" sheetId="3" state="visible" r:id="rId3"/>
  </sheets>
  <definedNames>
    <definedName name="_xlnm._FilterDatabase" localSheetId="1" hidden="1">'Test Cases'!$A$9:$O$21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22"/>
    </font>
    <font>
      <b val="1"/>
    </font>
    <font>
      <b val="1"/>
      <color rgb="00FFFFFF"/>
    </font>
    <font>
      <b val="1"/>
      <color rgb="00FFFFFF"/>
      <sz val="18"/>
    </font>
  </fonts>
  <fills count="8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EAF4FF"/>
      </patternFill>
    </fill>
    <fill>
      <patternFill patternType="solid">
        <fgColor rgb="00D9EAF7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8" customWidth="1" min="3" max="3"/>
    <col width="44" customWidth="1" min="4" max="4"/>
    <col width="18" customWidth="1" min="5" max="5"/>
    <col width="16" customWidth="1" min="6" max="6"/>
    <col width="38" customWidth="1" min="7" max="7"/>
    <col width="14" customWidth="1" min="8" max="8"/>
  </cols>
  <sheetData>
    <row r="1">
      <c r="A1" s="1" t="inlineStr">
        <is>
          <t>TEST CASE</t>
        </is>
      </c>
    </row>
    <row r="2"/>
    <row r="4">
      <c r="A4" s="2" t="inlineStr">
        <is>
          <t>Project Name</t>
        </is>
      </c>
      <c r="B4" s="3" t="inlineStr">
        <is>
          <t>Quản Lý Nhà Hàng / Restaurant Management System</t>
        </is>
      </c>
    </row>
    <row r="5">
      <c r="A5" s="2" t="inlineStr">
        <is>
          <t>Project Code</t>
        </is>
      </c>
      <c r="B5" s="3" t="inlineStr">
        <is>
          <t>RMS-FLUTTER-NODE</t>
        </is>
      </c>
    </row>
    <row r="6">
      <c r="A6" s="2" t="inlineStr">
        <is>
          <t>Module</t>
        </is>
      </c>
      <c r="B6" s="3" t="inlineStr">
        <is>
          <t>API - Quản trị hệ thống / API - System Admin</t>
        </is>
      </c>
    </row>
    <row r="7">
      <c r="A7" s="2" t="inlineStr">
        <is>
          <t>Module Code</t>
        </is>
      </c>
      <c r="B7" s="3" t="inlineStr">
        <is>
          <t>API-ADMIN</t>
        </is>
      </c>
    </row>
    <row r="8">
      <c r="A8" s="2" t="inlineStr">
        <is>
          <t>Version</t>
        </is>
      </c>
      <c r="B8" s="3" t="inlineStr">
        <is>
          <t>1.0</t>
        </is>
      </c>
    </row>
    <row r="9">
      <c r="A9" s="2" t="inlineStr">
        <is>
          <t>Issue date</t>
        </is>
      </c>
      <c r="B9" s="3" t="inlineStr">
        <is>
          <t>21/05/2026</t>
        </is>
      </c>
    </row>
    <row r="10">
      <c r="A10" s="2" t="inlineStr">
        <is>
          <t>Total test cases</t>
        </is>
      </c>
      <c r="B10" s="3" t="n">
        <v>10</v>
      </c>
    </row>
    <row r="11">
      <c r="A11" s="2" t="inlineStr">
        <is>
          <t>Language</t>
        </is>
      </c>
      <c r="B11" s="3" t="inlineStr">
        <is>
          <t>Tiếng Việt + English</t>
        </is>
      </c>
    </row>
    <row r="12">
      <c r="A12" s="2" t="inlineStr">
        <is>
          <t>Result policy</t>
        </is>
      </c>
      <c r="B12" s="3" t="inlineStr">
        <is>
          <t>Pass/Fail only for executed smoke checks; Pending means written but not executed manually.</t>
        </is>
      </c>
    </row>
    <row r="14">
      <c r="A14" s="4" t="inlineStr">
        <is>
          <t>Record of change / Lịch sử thay đổi</t>
        </is>
      </c>
    </row>
    <row r="15">
      <c r="A15" s="5" t="inlineStr">
        <is>
          <t>Version</t>
        </is>
      </c>
      <c r="B15" s="5" t="inlineStr">
        <is>
          <t>Date</t>
        </is>
      </c>
      <c r="C15" s="5" t="inlineStr">
        <is>
          <t>Author</t>
        </is>
      </c>
      <c r="D15" s="5" t="inlineStr">
        <is>
          <t>Change description</t>
        </is>
      </c>
      <c r="E15" s="5" t="inlineStr">
        <is>
          <t>Reviewer</t>
        </is>
      </c>
      <c r="F15" s="5" t="inlineStr">
        <is>
          <t>Status</t>
        </is>
      </c>
      <c r="G15" s="5" t="inlineStr">
        <is>
          <t>Note</t>
        </is>
      </c>
      <c r="H15" s="5" t="inlineStr"/>
    </row>
    <row r="16">
      <c r="A16" s="3" t="inlineStr">
        <is>
          <t>1.0</t>
        </is>
      </c>
      <c r="B16" s="3" t="inlineStr">
        <is>
          <t>21/05/2026</t>
        </is>
      </c>
      <c r="C16" s="3" t="inlineStr">
        <is>
          <t>Codex</t>
        </is>
      </c>
      <c r="D16" s="3" t="inlineStr">
        <is>
          <t>Create bilingual test cases for API - Quản trị hệ thống</t>
        </is>
      </c>
      <c r="E16" s="3" t="inlineStr"/>
      <c r="F16" s="3" t="inlineStr">
        <is>
          <t>Draft</t>
        </is>
      </c>
      <c r="G16" s="3" t="inlineStr">
        <is>
          <t>Kiểm tra health, export và reset backend</t>
        </is>
      </c>
      <c r="H16" s="3" t="inlineStr"/>
    </row>
  </sheetData>
  <mergeCells count="2">
    <mergeCell ref="A1:H2"/>
    <mergeCell ref="A14:H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34" customWidth="1" min="4" max="4"/>
    <col width="34" customWidth="1" min="5" max="5"/>
    <col width="34" customWidth="1" min="6" max="6"/>
    <col width="44" customWidth="1" min="7" max="7"/>
    <col width="44" customWidth="1" min="8" max="8"/>
    <col width="28" customWidth="1" min="9" max="9"/>
    <col width="38" customWidth="1" min="10" max="10"/>
    <col width="38" customWidth="1" min="11" max="11"/>
    <col width="14" customWidth="1" min="12" max="12"/>
    <col width="18" customWidth="1" min="13" max="13"/>
    <col width="38" customWidth="1" min="14" max="14"/>
    <col width="28" customWidth="1" min="15" max="15"/>
  </cols>
  <sheetData>
    <row r="1">
      <c r="A1" s="6" t="inlineStr">
        <is>
          <t>TEST CASE</t>
        </is>
      </c>
    </row>
    <row r="3">
      <c r="A3" s="7" t="inlineStr">
        <is>
          <t>System Name:</t>
        </is>
      </c>
      <c r="B3" s="3" t="inlineStr">
        <is>
          <t>Quản Lý Nhà Hàng / Restaurant Management System</t>
        </is>
      </c>
    </row>
    <row r="4">
      <c r="A4" s="7" t="inlineStr">
        <is>
          <t>Module Code:</t>
        </is>
      </c>
      <c r="B4" s="3" t="inlineStr">
        <is>
          <t>API-ADMIN</t>
        </is>
      </c>
    </row>
    <row r="5">
      <c r="A5" s="7" t="inlineStr">
        <is>
          <t>Test requirement:</t>
        </is>
      </c>
      <c r="B5" s="3" t="inlineStr">
        <is>
          <t>Kiểm tra health, export và reset backend</t>
        </is>
      </c>
    </row>
    <row r="6">
      <c r="A6" s="7" t="inlineStr">
        <is>
          <t>Pass</t>
        </is>
      </c>
      <c r="B6" s="3">
        <f>COUNTIF(M12:M500,"Pass*")</f>
        <v/>
      </c>
      <c r="C6" s="7" t="inlineStr">
        <is>
          <t>Pending</t>
        </is>
      </c>
      <c r="D6" s="3">
        <f>COUNTIF(M12:M500,"Pending*")</f>
        <v/>
      </c>
    </row>
    <row r="7">
      <c r="A7" s="7" t="inlineStr">
        <is>
          <t>Fail</t>
        </is>
      </c>
      <c r="B7" s="3">
        <f>COUNTIF(M12:M500,"Fail*")</f>
        <v/>
      </c>
      <c r="C7" s="7" t="inlineStr">
        <is>
          <t>Number of test cases:</t>
        </is>
      </c>
      <c r="D7" s="3">
        <f>COUNTA(A12:A500)</f>
        <v/>
      </c>
    </row>
    <row r="9">
      <c r="A9" s="8" t="inlineStr">
        <is>
          <t>ID</t>
        </is>
      </c>
      <c r="B9" s="8" t="inlineStr">
        <is>
          <t>Function / Chức năng</t>
        </is>
      </c>
      <c r="C9" s="8" t="inlineStr">
        <is>
          <t>Test location / Vị trí test</t>
        </is>
      </c>
      <c r="D9" s="8" t="inlineStr">
        <is>
          <t>Test Case Description (VI)</t>
        </is>
      </c>
      <c r="E9" s="8" t="inlineStr">
        <is>
          <t>Test Case Description (EN)</t>
        </is>
      </c>
      <c r="F9" s="8" t="inlineStr">
        <is>
          <t>Preconditions / Tiền điều kiện</t>
        </is>
      </c>
      <c r="G9" s="8" t="inlineStr">
        <is>
          <t>Test Case Procedure (VI)</t>
        </is>
      </c>
      <c r="H9" s="8" t="inlineStr">
        <is>
          <t>Test Case Procedure (EN)</t>
        </is>
      </c>
      <c r="I9" s="8" t="inlineStr">
        <is>
          <t>Test Data / Dữ liệu</t>
        </is>
      </c>
      <c r="J9" s="8" t="inlineStr">
        <is>
          <t>Expected Output (VI)</t>
        </is>
      </c>
      <c r="K9" s="8" t="inlineStr">
        <is>
          <t>Expected Output (EN)</t>
        </is>
      </c>
      <c r="L9" s="8" t="inlineStr">
        <is>
          <t>Test date</t>
        </is>
      </c>
      <c r="M9" s="8" t="inlineStr">
        <is>
          <t>Result / Kết quả</t>
        </is>
      </c>
      <c r="N9" s="8" t="inlineStr">
        <is>
          <t>Actual Result / Kết quả thực tế</t>
        </is>
      </c>
      <c r="O9" s="8" t="inlineStr">
        <is>
          <t>Note / Ghi chú</t>
        </is>
      </c>
    </row>
    <row r="12" ht="96" customHeight="1">
      <c r="A12" s="9" t="inlineStr">
        <is>
          <t>API-ADMIN-001</t>
        </is>
      </c>
      <c r="B12" s="3" t="inlineStr">
        <is>
          <t>API admin</t>
        </is>
      </c>
      <c r="C12" s="3" t="inlineStr">
        <is>
          <t>Backend API &gt; /admin, /reset</t>
        </is>
      </c>
      <c r="D12" s="3" t="inlineStr">
        <is>
          <t>GET /admin/health trả status ok</t>
        </is>
      </c>
      <c r="E12" s="3" t="inlineStr">
        <is>
          <t>GET /admin/health returns status ok</t>
        </is>
      </c>
      <c r="F12" s="3" t="inlineStr">
        <is>
          <t>Backend Node/Express đang chạy tại http://127.0.0.1:3000; dữ liệu JSON ở backend/data/restaurant.json.</t>
        </is>
      </c>
      <c r="G12" s="3" t="inlineStr">
        <is>
          <t>1. Mở vị trí test: Backend API &gt; /admin, /reset.
2. Thực hiện tình huống: GET /admin/health trả status ok.
3. Kiểm tra giao diện, dữ liệu lưu trong hệ thống và phản hồi lỗi/thành công.</t>
        </is>
      </c>
      <c r="H12" s="3" t="inlineStr">
        <is>
          <t>1. Open test location: Backend API &gt; /admin, /reset.
2. Execute scenario: GET /admin/health returns status ok.
3. Verify UI, saved data, and success/error response.</t>
        </is>
      </c>
      <c r="I12" s="3" t="inlineStr"/>
      <c r="J12" s="3" t="inlineStr">
        <is>
          <t>Response có status ok, storage, counts và generatedAt.</t>
        </is>
      </c>
      <c r="K12" s="3" t="inlineStr">
        <is>
          <t>Response includes ok status, storage, counts, and generatedAt.</t>
        </is>
      </c>
      <c r="L12" s="9" t="inlineStr"/>
      <c r="M12" s="10" t="inlineStr">
        <is>
          <t>Pending / Chưa chạy</t>
        </is>
      </c>
      <c r="N12" s="3" t="inlineStr">
        <is>
          <t>Chưa chạy / Not executed</t>
        </is>
      </c>
      <c r="O12" s="3" t="inlineStr"/>
    </row>
    <row r="13" ht="96" customHeight="1">
      <c r="A13" s="9" t="inlineStr">
        <is>
          <t>API-ADMIN-002</t>
        </is>
      </c>
      <c r="B13" s="3" t="inlineStr">
        <is>
          <t>API admin</t>
        </is>
      </c>
      <c r="C13" s="3" t="inlineStr">
        <is>
          <t>Backend API &gt; /admin, /reset</t>
        </is>
      </c>
      <c r="D13" s="3" t="inlineStr">
        <is>
          <t>GET /admin/export trả dữ liệu JSON</t>
        </is>
      </c>
      <c r="E13" s="3" t="inlineStr">
        <is>
          <t>GET /admin/export returns JSON data</t>
        </is>
      </c>
      <c r="F13" s="3" t="inlineStr">
        <is>
          <t>Backend Node/Express đang chạy tại http://127.0.0.1:3000; dữ liệu JSON ở backend/data/restaurant.json.</t>
        </is>
      </c>
      <c r="G13" s="3" t="inlineStr">
        <is>
          <t>1. Mở vị trí test: Backend API &gt; /admin, /reset.
2. Thực hiện tình huống: GET /admin/export trả dữ liệu JSON.
3. Kiểm tra giao diện, dữ liệu lưu trong hệ thống và phản hồi lỗi/thành công.</t>
        </is>
      </c>
      <c r="H13" s="3" t="inlineStr">
        <is>
          <t>1. Open test location: Backend API &gt; /admin, /reset.
2. Execute scenario: GET /admin/export returns JSON data.
3. Verify UI, saved data, and success/error response.</t>
        </is>
      </c>
      <c r="I13" s="3" t="inlineStr"/>
      <c r="J13" s="3" t="inlineStr">
        <is>
          <t>Export có cấu trúc users/tables/menu/orders/debts/employees.</t>
        </is>
      </c>
      <c r="K13" s="3" t="inlineStr">
        <is>
          <t>Export has users/tables/menu/orders/debts/employees.</t>
        </is>
      </c>
      <c r="L13" s="9" t="inlineStr"/>
      <c r="M13" s="10" t="inlineStr">
        <is>
          <t>Pending / Chưa chạy</t>
        </is>
      </c>
      <c r="N13" s="3" t="inlineStr">
        <is>
          <t>Chưa chạy / Not executed</t>
        </is>
      </c>
      <c r="O13" s="3" t="inlineStr"/>
    </row>
    <row r="14" ht="96" customHeight="1">
      <c r="A14" s="9" t="inlineStr">
        <is>
          <t>API-ADMIN-003</t>
        </is>
      </c>
      <c r="B14" s="3" t="inlineStr">
        <is>
          <t>API admin</t>
        </is>
      </c>
      <c r="C14" s="3" t="inlineStr">
        <is>
          <t>Backend API &gt; /admin, /reset</t>
        </is>
      </c>
      <c r="D14" s="3" t="inlineStr">
        <is>
          <t>Export không làm thay đổi dữ liệu</t>
        </is>
      </c>
      <c r="E14" s="3" t="inlineStr">
        <is>
          <t>Export does not mutate data</t>
        </is>
      </c>
      <c r="F14" s="3" t="inlineStr">
        <is>
          <t>Backend Node/Express đang chạy tại http://127.0.0.1:3000; dữ liệu JSON ở backend/data/restaurant.json.</t>
        </is>
      </c>
      <c r="G14" s="3" t="inlineStr">
        <is>
          <t>1. Mở vị trí test: Backend API &gt; /admin, /reset.
2. Thực hiện tình huống: Export không làm thay đổi dữ liệu.
3. Kiểm tra giao diện, dữ liệu lưu trong hệ thống và phản hồi lỗi/thành công.</t>
        </is>
      </c>
      <c r="H14" s="3" t="inlineStr">
        <is>
          <t>1. Open test location: Backend API &gt; /admin, /reset.
2. Execute scenario: Export does not mutate data.
3. Verify UI, saved data, and success/error response.</t>
        </is>
      </c>
      <c r="I14" s="3" t="inlineStr"/>
      <c r="J14" s="3" t="inlineStr">
        <is>
          <t>GET export nhiều lần trả dữ liệu ổn định nếu không có thao tác ghi.</t>
        </is>
      </c>
      <c r="K14" s="3" t="inlineStr">
        <is>
          <t>Repeated export returns stable data if no writes occur.</t>
        </is>
      </c>
      <c r="L14" s="9" t="inlineStr"/>
      <c r="M14" s="10" t="inlineStr">
        <is>
          <t>Pending / Chưa chạy</t>
        </is>
      </c>
      <c r="N14" s="3" t="inlineStr">
        <is>
          <t>Chưa chạy / Not executed</t>
        </is>
      </c>
      <c r="O14" s="3" t="inlineStr"/>
    </row>
    <row r="15" ht="96" customHeight="1">
      <c r="A15" s="9" t="inlineStr">
        <is>
          <t>API-ADMIN-004</t>
        </is>
      </c>
      <c r="B15" s="3" t="inlineStr">
        <is>
          <t>API admin</t>
        </is>
      </c>
      <c r="C15" s="3" t="inlineStr">
        <is>
          <t>Backend API &gt; /admin, /reset</t>
        </is>
      </c>
      <c r="D15" s="3" t="inlineStr">
        <is>
          <t>POST /admin/reset khôi phục seed</t>
        </is>
      </c>
      <c r="E15" s="3" t="inlineStr">
        <is>
          <t>POST /admin/reset restores seed data</t>
        </is>
      </c>
      <c r="F15" s="3" t="inlineStr">
        <is>
          <t>Backend Node/Express đang chạy tại http://127.0.0.1:3000; dữ liệu JSON ở backend/data/restaurant.json.</t>
        </is>
      </c>
      <c r="G15" s="3" t="inlineStr">
        <is>
          <t>1. Mở vị trí test: Backend API &gt; /admin, /reset.
2. Thực hiện tình huống: POST /admin/reset khôi phục seed.
3. Kiểm tra giao diện, dữ liệu lưu trong hệ thống và phản hồi lỗi/thành công.</t>
        </is>
      </c>
      <c r="H15" s="3" t="inlineStr">
        <is>
          <t>1. Open test location: Backend API &gt; /admin, /reset.
2. Execute scenario: POST /admin/reset restores seed data.
3. Verify UI, saved data, and success/error response.</t>
        </is>
      </c>
      <c r="I15" s="3" t="inlineStr"/>
      <c r="J15" s="3" t="inlineStr">
        <is>
          <t>Tables/menu/users/nextIds quay về seed.</t>
        </is>
      </c>
      <c r="K15" s="3" t="inlineStr">
        <is>
          <t>Tables/menu/users/nextIds return to seed.</t>
        </is>
      </c>
      <c r="L15" s="9" t="inlineStr"/>
      <c r="M15" s="10" t="inlineStr">
        <is>
          <t>Pending / Chưa chạy</t>
        </is>
      </c>
      <c r="N15" s="3" t="inlineStr">
        <is>
          <t>Chưa chạy / Not executed</t>
        </is>
      </c>
      <c r="O15" s="3" t="inlineStr"/>
    </row>
    <row r="16" ht="96" customHeight="1">
      <c r="A16" s="9" t="inlineStr">
        <is>
          <t>API-ADMIN-005</t>
        </is>
      </c>
      <c r="B16" s="3" t="inlineStr">
        <is>
          <t>API admin</t>
        </is>
      </c>
      <c r="C16" s="3" t="inlineStr">
        <is>
          <t>Backend API &gt; /admin, /reset</t>
        </is>
      </c>
      <c r="D16" s="3" t="inlineStr">
        <is>
          <t>POST /reset root khôi phục seed</t>
        </is>
      </c>
      <c r="E16" s="3" t="inlineStr">
        <is>
          <t>POST /reset root restores seed data</t>
        </is>
      </c>
      <c r="F16" s="3" t="inlineStr">
        <is>
          <t>Backend Node/Express đang chạy tại http://127.0.0.1:3000; dữ liệu JSON ở backend/data/restaurant.json.</t>
        </is>
      </c>
      <c r="G16" s="3" t="inlineStr">
        <is>
          <t>1. Mở vị trí test: Backend API &gt; /admin, /reset.
2. Thực hiện tình huống: POST /reset root khôi phục seed.
3. Kiểm tra giao diện, dữ liệu lưu trong hệ thống và phản hồi lỗi/thành công.</t>
        </is>
      </c>
      <c r="H16" s="3" t="inlineStr">
        <is>
          <t>1. Open test location: Backend API &gt; /admin, /reset.
2. Execute scenario: POST /reset root restores seed data.
3. Verify UI, saved data, and success/error response.</t>
        </is>
      </c>
      <c r="I16" s="3" t="inlineStr"/>
      <c r="J16" s="3" t="inlineStr">
        <is>
          <t>Endpoint root reset hoạt động tương đương hoặc theo thiết kế.</t>
        </is>
      </c>
      <c r="K16" s="3" t="inlineStr">
        <is>
          <t>Root reset behaves equivalently or per design.</t>
        </is>
      </c>
      <c r="L16" s="9" t="inlineStr"/>
      <c r="M16" s="10" t="inlineStr">
        <is>
          <t>Pending / Chưa chạy</t>
        </is>
      </c>
      <c r="N16" s="3" t="inlineStr">
        <is>
          <t>Chưa chạy / Not executed</t>
        </is>
      </c>
      <c r="O16" s="3" t="inlineStr"/>
    </row>
    <row r="17" ht="96" customHeight="1">
      <c r="A17" s="9" t="inlineStr">
        <is>
          <t>API-ADMIN-006</t>
        </is>
      </c>
      <c r="B17" s="3" t="inlineStr">
        <is>
          <t>API admin</t>
        </is>
      </c>
      <c r="C17" s="3" t="inlineStr">
        <is>
          <t>Backend API &gt; /admin, /reset</t>
        </is>
      </c>
      <c r="D17" s="3" t="inlineStr">
        <is>
          <t>Reset sau khi có order/debt</t>
        </is>
      </c>
      <c r="E17" s="3" t="inlineStr">
        <is>
          <t>Reset after orders/debts exist</t>
        </is>
      </c>
      <c r="F17" s="3" t="inlineStr">
        <is>
          <t>Backend Node/Express đang chạy tại http://127.0.0.1:3000; dữ liệu JSON ở backend/data/restaurant.json.</t>
        </is>
      </c>
      <c r="G17" s="3" t="inlineStr">
        <is>
          <t>1. Mở vị trí test: Backend API &gt; /admin, /reset.
2. Thực hiện tình huống: Reset sau khi có order/debt.
3. Kiểm tra giao diện, dữ liệu lưu trong hệ thống và phản hồi lỗi/thành công.</t>
        </is>
      </c>
      <c r="H17" s="3" t="inlineStr">
        <is>
          <t>1. Open test location: Backend API &gt; /admin, /reset.
2. Execute scenario: Reset after orders/debts exist.
3. Verify UI, saved data, and success/error response.</t>
        </is>
      </c>
      <c r="I17" s="3" t="inlineStr"/>
      <c r="J17" s="3" t="inlineStr">
        <is>
          <t>Orders/debts bị xóa và counts về seed.</t>
        </is>
      </c>
      <c r="K17" s="3" t="inlineStr">
        <is>
          <t>Orders/debts are removed and counts return to seed.</t>
        </is>
      </c>
      <c r="L17" s="9" t="inlineStr"/>
      <c r="M17" s="10" t="inlineStr">
        <is>
          <t>Pending / Chưa chạy</t>
        </is>
      </c>
      <c r="N17" s="3" t="inlineStr">
        <is>
          <t>Chưa chạy / Not executed</t>
        </is>
      </c>
      <c r="O17" s="3" t="inlineStr"/>
    </row>
    <row r="18" ht="96" customHeight="1">
      <c r="A18" s="9" t="inlineStr">
        <is>
          <t>API-ADMIN-007</t>
        </is>
      </c>
      <c r="B18" s="3" t="inlineStr">
        <is>
          <t>API admin</t>
        </is>
      </c>
      <c r="C18" s="3" t="inlineStr">
        <is>
          <t>Backend API &gt; /admin, /reset</t>
        </is>
      </c>
      <c r="D18" s="3" t="inlineStr">
        <is>
          <t>Health sau khi reset</t>
        </is>
      </c>
      <c r="E18" s="3" t="inlineStr">
        <is>
          <t>Health after reset</t>
        </is>
      </c>
      <c r="F18" s="3" t="inlineStr">
        <is>
          <t>Backend Node/Express đang chạy tại http://127.0.0.1:3000; dữ liệu JSON ở backend/data/restaurant.json.</t>
        </is>
      </c>
      <c r="G18" s="3" t="inlineStr">
        <is>
          <t>1. Mở vị trí test: Backend API &gt; /admin, /reset.
2. Thực hiện tình huống: Health sau khi reset.
3. Kiểm tra giao diện, dữ liệu lưu trong hệ thống và phản hồi lỗi/thành công.</t>
        </is>
      </c>
      <c r="H18" s="3" t="inlineStr">
        <is>
          <t>1. Open test location: Backend API &gt; /admin, /reset.
2. Execute scenario: Health after reset.
3. Verify UI, saved data, and success/error response.</t>
        </is>
      </c>
      <c r="I18" s="3" t="inlineStr"/>
      <c r="J18" s="3" t="inlineStr">
        <is>
          <t>Counts đúng 6 bàn, 5 món, 3 nhân viên theo seed.</t>
        </is>
      </c>
      <c r="K18" s="3" t="inlineStr">
        <is>
          <t>Counts match six tables, five menu items, and three employees.</t>
        </is>
      </c>
      <c r="L18" s="9" t="inlineStr"/>
      <c r="M18" s="10" t="inlineStr">
        <is>
          <t>Pending / Chưa chạy</t>
        </is>
      </c>
      <c r="N18" s="3" t="inlineStr">
        <is>
          <t>Chưa chạy / Not executed</t>
        </is>
      </c>
      <c r="O18" s="3" t="inlineStr"/>
    </row>
    <row r="19" ht="96" customHeight="1">
      <c r="A19" s="9" t="inlineStr">
        <is>
          <t>API-ADMIN-008</t>
        </is>
      </c>
      <c r="B19" s="3" t="inlineStr">
        <is>
          <t>API admin</t>
        </is>
      </c>
      <c r="C19" s="3" t="inlineStr">
        <is>
          <t>Backend API &gt; /admin, /reset</t>
        </is>
      </c>
      <c r="D19" s="3" t="inlineStr">
        <is>
          <t>Admin endpoint trả JSON hợp lệ khi lỗi đọc file</t>
        </is>
      </c>
      <c r="E19" s="3" t="inlineStr">
        <is>
          <t>Admin endpoint returns valid JSON on file read error</t>
        </is>
      </c>
      <c r="F19" s="3" t="inlineStr">
        <is>
          <t>Backend Node/Express đang chạy tại http://127.0.0.1:3000; dữ liệu JSON ở backend/data/restaurant.json.</t>
        </is>
      </c>
      <c r="G19" s="3" t="inlineStr">
        <is>
          <t>1. Mở vị trí test: Backend API &gt; /admin, /reset.
2. Thực hiện tình huống: Admin endpoint trả JSON hợp lệ khi lỗi đọc file.
3. Kiểm tra giao diện, dữ liệu lưu trong hệ thống và phản hồi lỗi/thành công.</t>
        </is>
      </c>
      <c r="H19" s="3" t="inlineStr">
        <is>
          <t>1. Open test location: Backend API &gt; /admin, /reset.
2. Execute scenario: Admin endpoint returns valid JSON on file read error.
3. Verify UI, saved data, and success/error response.</t>
        </is>
      </c>
      <c r="I19" s="3" t="inlineStr"/>
      <c r="J19" s="3" t="inlineStr">
        <is>
          <t>Server xử lý lỗi file an toàn, không crash process.</t>
        </is>
      </c>
      <c r="K19" s="3" t="inlineStr">
        <is>
          <t>Server handles file errors safely without crashing.</t>
        </is>
      </c>
      <c r="L19" s="9" t="inlineStr"/>
      <c r="M19" s="10" t="inlineStr">
        <is>
          <t>Pending / Chưa chạy</t>
        </is>
      </c>
      <c r="N19" s="3" t="inlineStr">
        <is>
          <t>Chưa chạy / Not executed</t>
        </is>
      </c>
      <c r="O19" s="3" t="inlineStr"/>
    </row>
    <row r="20" ht="96" customHeight="1">
      <c r="A20" s="9" t="inlineStr">
        <is>
          <t>API-ADMIN-009</t>
        </is>
      </c>
      <c r="B20" s="3" t="inlineStr">
        <is>
          <t>API admin</t>
        </is>
      </c>
      <c r="C20" s="3" t="inlineStr">
        <is>
          <t>Backend API &gt; /admin, /reset</t>
        </is>
      </c>
      <c r="D20" s="3" t="inlineStr">
        <is>
          <t>CORS cho web app localhost</t>
        </is>
      </c>
      <c r="E20" s="3" t="inlineStr">
        <is>
          <t>CORS allows localhost web app</t>
        </is>
      </c>
      <c r="F20" s="3" t="inlineStr">
        <is>
          <t>Backend Node/Express đang chạy tại http://127.0.0.1:3000; dữ liệu JSON ở backend/data/restaurant.json.</t>
        </is>
      </c>
      <c r="G20" s="3" t="inlineStr">
        <is>
          <t>1. Mở vị trí test: Backend API &gt; /admin, /reset.
2. Thực hiện tình huống: CORS cho web app localhost.
3. Kiểm tra giao diện, dữ liệu lưu trong hệ thống và phản hồi lỗi/thành công.</t>
        </is>
      </c>
      <c r="H20" s="3" t="inlineStr">
        <is>
          <t>1. Open test location: Backend API &gt; /admin, /reset.
2. Execute scenario: CORS allows localhost web app.
3. Verify UI, saved data, and success/error response.</t>
        </is>
      </c>
      <c r="I20" s="3" t="inlineStr"/>
      <c r="J20" s="3" t="inlineStr">
        <is>
          <t>Web gọi API không bị chặn CORS trong dev.</t>
        </is>
      </c>
      <c r="K20" s="3" t="inlineStr">
        <is>
          <t>Web can call API without CORS block in dev.</t>
        </is>
      </c>
      <c r="L20" s="9" t="inlineStr"/>
      <c r="M20" s="10" t="inlineStr">
        <is>
          <t>Pending / Chưa chạy</t>
        </is>
      </c>
      <c r="N20" s="3" t="inlineStr">
        <is>
          <t>Chưa chạy / Not executed</t>
        </is>
      </c>
      <c r="O20" s="3" t="inlineStr"/>
    </row>
    <row r="21" ht="96" customHeight="1">
      <c r="A21" s="9" t="inlineStr">
        <is>
          <t>API-ADMIN-010</t>
        </is>
      </c>
      <c r="B21" s="3" t="inlineStr">
        <is>
          <t>API admin</t>
        </is>
      </c>
      <c r="C21" s="3" t="inlineStr">
        <is>
          <t>Backend API &gt; /admin, /reset</t>
        </is>
      </c>
      <c r="D21" s="3" t="inlineStr">
        <is>
          <t>Server lắng nghe cổng 3000</t>
        </is>
      </c>
      <c r="E21" s="3" t="inlineStr">
        <is>
          <t>Server listens on port 3000</t>
        </is>
      </c>
      <c r="F21" s="3" t="inlineStr">
        <is>
          <t>Backend Node/Express đang chạy tại http://127.0.0.1:3000; dữ liệu JSON ở backend/data/restaurant.json.</t>
        </is>
      </c>
      <c r="G21" s="3" t="inlineStr">
        <is>
          <t>1. Mở vị trí test: Backend API &gt; /admin, /reset.
2. Thực hiện tình huống: Server lắng nghe cổng 3000.
3. Kiểm tra giao diện, dữ liệu lưu trong hệ thống và phản hồi lỗi/thành công.</t>
        </is>
      </c>
      <c r="H21" s="3" t="inlineStr">
        <is>
          <t>1. Open test location: Backend API &gt; /admin, /reset.
2. Execute scenario: Server listens on port 3000.
3. Verify UI, saved data, and success/error response.</t>
        </is>
      </c>
      <c r="I21" s="3" t="inlineStr"/>
      <c r="J21" s="3" t="inlineStr">
        <is>
          <t>Port 3000 phản hồi API root/admin đúng.</t>
        </is>
      </c>
      <c r="K21" s="3" t="inlineStr">
        <is>
          <t>Port 3000 responds to root/admin API.</t>
        </is>
      </c>
      <c r="L21" s="9" t="inlineStr"/>
      <c r="M21" s="10" t="inlineStr">
        <is>
          <t>Pending / Chưa chạy</t>
        </is>
      </c>
      <c r="N21" s="3" t="inlineStr">
        <is>
          <t>Chưa chạy / Not executed</t>
        </is>
      </c>
      <c r="O21" s="3" t="inlineStr"/>
    </row>
  </sheetData>
  <autoFilter ref="A9:O21"/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52" customWidth="1" min="3" max="3"/>
    <col width="28" customWidth="1" min="4" max="4"/>
    <col width="16" customWidth="1" min="5" max="5"/>
    <col width="14" customWidth="1" min="6" max="6"/>
    <col width="28" customWidth="1" min="7" max="7"/>
  </cols>
  <sheetData>
    <row r="1">
      <c r="A1" s="6" t="inlineStr">
        <is>
          <t>TEST REPORT</t>
        </is>
      </c>
    </row>
    <row r="3">
      <c r="A3" s="7" t="inlineStr">
        <is>
          <t>System Name</t>
        </is>
      </c>
      <c r="B3" s="3" t="inlineStr">
        <is>
          <t>Quản Lý Nhà Hàng / Restaurant Management System</t>
        </is>
      </c>
    </row>
    <row r="4">
      <c r="A4" s="7" t="inlineStr">
        <is>
          <t>Module</t>
        </is>
      </c>
      <c r="B4" s="3" t="inlineStr">
        <is>
          <t>API - Quản trị hệ thống / API - System Admin</t>
        </is>
      </c>
    </row>
    <row r="5">
      <c r="A5" s="7" t="inlineStr">
        <is>
          <t>Module Code</t>
        </is>
      </c>
      <c r="B5" s="3" t="inlineStr">
        <is>
          <t>API-ADMIN</t>
        </is>
      </c>
    </row>
    <row r="6">
      <c r="A6" s="7" t="inlineStr">
        <is>
          <t>Issue date</t>
        </is>
      </c>
      <c r="B6" s="3" t="inlineStr">
        <is>
          <t>21/05/2026</t>
        </is>
      </c>
    </row>
    <row r="7">
      <c r="A7" s="7" t="inlineStr">
        <is>
          <t>Total test cases</t>
        </is>
      </c>
      <c r="B7" s="3" t="n">
        <v>10</v>
      </c>
    </row>
    <row r="10">
      <c r="A10" s="8" t="inlineStr">
        <is>
          <t>Result</t>
        </is>
      </c>
      <c r="B10" s="8" t="inlineStr">
        <is>
          <t>Count</t>
        </is>
      </c>
      <c r="C10" s="8" t="inlineStr">
        <is>
          <t>Meaning / Ý nghĩa</t>
        </is>
      </c>
      <c r="D10" s="8" t="inlineStr">
        <is>
          <t>Scope</t>
        </is>
      </c>
      <c r="E10" s="8" t="inlineStr">
        <is>
          <t>Owner</t>
        </is>
      </c>
      <c r="F10" s="8" t="inlineStr">
        <is>
          <t>Date</t>
        </is>
      </c>
      <c r="G10" s="8" t="inlineStr">
        <is>
          <t>Note</t>
        </is>
      </c>
    </row>
    <row r="11">
      <c r="A11" s="11" t="inlineStr">
        <is>
          <t>Pass / Đạt</t>
        </is>
      </c>
      <c r="B11" s="3">
        <f>COUNTIF('Test Cases'!M12:M500,"Pass*")</f>
        <v/>
      </c>
      <c r="C11" s="3" t="inlineStr">
        <is>
          <t>Executed and matched expected result / Đã chạy và đúng mong đợi</t>
        </is>
      </c>
      <c r="D11" s="3" t="inlineStr">
        <is>
          <t>API - Quản trị hệ thống</t>
        </is>
      </c>
      <c r="E11" s="3" t="inlineStr">
        <is>
          <t>QA / Dev</t>
        </is>
      </c>
      <c r="F11" s="3" t="inlineStr">
        <is>
          <t>21/05/2026</t>
        </is>
      </c>
      <c r="G11" s="3" t="inlineStr"/>
    </row>
    <row r="12">
      <c r="A12" s="12" t="inlineStr">
        <is>
          <t>Fail / Không đạt</t>
        </is>
      </c>
      <c r="B12" s="3">
        <f>COUNTIF('Test Cases'!M12:M500,"Fail*")</f>
        <v/>
      </c>
      <c r="C12" s="3" t="inlineStr">
        <is>
          <t>Executed but did not match expected result / Đã chạy nhưng sai mong đợi</t>
        </is>
      </c>
      <c r="D12" s="3" t="inlineStr">
        <is>
          <t>API - Quản trị hệ thống</t>
        </is>
      </c>
      <c r="E12" s="3" t="inlineStr">
        <is>
          <t>QA / Dev</t>
        </is>
      </c>
      <c r="F12" s="3" t="inlineStr">
        <is>
          <t>21/05/2026</t>
        </is>
      </c>
      <c r="G12" s="3" t="inlineStr"/>
    </row>
    <row r="13">
      <c r="A13" s="13" t="inlineStr">
        <is>
          <t>Pending / Chưa chạy</t>
        </is>
      </c>
      <c r="B13" s="3">
        <f>COUNTIF('Test Cases'!M12:M500,"Pending*")</f>
        <v/>
      </c>
      <c r="C13" s="3" t="inlineStr">
        <is>
          <t>Written but not yet executed manually / Đã viết, chưa chạy thủ công</t>
        </is>
      </c>
      <c r="D13" s="3" t="inlineStr">
        <is>
          <t>API - Quản trị hệ thống</t>
        </is>
      </c>
      <c r="E13" s="3" t="inlineStr">
        <is>
          <t>QA / Dev</t>
        </is>
      </c>
      <c r="F13" s="3" t="inlineStr">
        <is>
          <t>21/05/2026</t>
        </is>
      </c>
      <c r="G13" s="3" t="inlineStr"/>
    </row>
    <row r="14">
      <c r="A14" s="3" t="inlineStr">
        <is>
          <t>Number of test cases</t>
        </is>
      </c>
      <c r="B14" s="3">
        <f>COUNTA('Test Cases'!A12:A500)</f>
        <v/>
      </c>
      <c r="C14" s="3" t="inlineStr">
        <is>
          <t>Total case rows / Tổng số dòng case</t>
        </is>
      </c>
      <c r="D14" s="3" t="inlineStr">
        <is>
          <t>API - Quản trị hệ thống</t>
        </is>
      </c>
      <c r="E14" s="3" t="inlineStr">
        <is>
          <t>QA / Dev</t>
        </is>
      </c>
      <c r="F14" s="3" t="inlineStr">
        <is>
          <t>21/05/2026</t>
        </is>
      </c>
      <c r="G14" s="3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2026-05-21T11:33:23Z</dcterms:created>
  <dcterms:modified xmlns:dcterms="http://purl.org/dc/terms/" xmlns:xsi="http://www.w3.org/2001/XMLSchema-instance" xsi:type="dcterms:W3CDTF">2026-05-21T11:33:23Z</dcterms:modified>
</cp:coreProperties>
</file>